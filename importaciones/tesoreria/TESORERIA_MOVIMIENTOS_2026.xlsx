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EMBRESIA" sheetId="1" state="visible" r:id="rId3"/>
    <sheet name="INGRESOS Y EGRESOS" sheetId="2" state="visible" r:id="rId4"/>
    <sheet name="INFORME MENS" sheetId="3" state="visible" r:id="rId5"/>
    <sheet name="PAGO A GLUM" sheetId="4" state="visible" r:id="rId6"/>
    <sheet name="DEFUNCIONES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<sst xmlns="http://schemas.openxmlformats.org/spreadsheetml/2006/main" count="1332" uniqueCount="436">
  <si>
    <t xml:space="preserve">Dig.·. Resp.·.  Abn.·. y Sesquicent.·. Log.·. Simb.·.  FRATERNIDAD No. 1</t>
  </si>
  <si>
    <t xml:space="preserve">MEMBRESÍA Y CONTROL DE APORTACIONES  2 0 2 6</t>
  </si>
  <si>
    <t xml:space="preserve">PRICA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</si>
  <si>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</si>
  <si>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</si>
  <si>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</si>
  <si>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</si>
  <si>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</si>
  <si>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</si>
  <si>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</si>
  <si>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</si>
  <si>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</si>
  <si>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</si>
  <si>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</si>
  <si>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</si>
  <si>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ADEUDO</t>
  </si>
  <si>
    <t xml:space="preserve">A FAVOR</t>
  </si>
  <si>
    <t xml:space="preserve">DAVID GARCIA MELGOZA</t>
  </si>
  <si>
    <t xml:space="preserve">47</t>
  </si>
  <si>
    <t xml:space="preserve">GABINO S. SANTAMARIA DELGADO</t>
  </si>
  <si>
    <t xml:space="preserve">JORGE L. MENDOZA SORIANO</t>
  </si>
  <si>
    <t xml:space="preserve"> </t>
  </si>
  <si>
    <t xml:space="preserve">LEOPOLDO GARCIA MELGOZA</t>
  </si>
  <si>
    <t xml:space="preserve">x</t>
  </si>
  <si>
    <t xml:space="preserve">X</t>
  </si>
  <si>
    <t xml:space="preserve">LUIS RODRIGUEZ MATA</t>
  </si>
  <si>
    <t xml:space="preserve">L. ENRIQUE RAMON VILABOA</t>
  </si>
  <si>
    <t xml:space="preserve">AULIO C. IBARRA ZAVALA</t>
  </si>
  <si>
    <t xml:space="preserve">GUILLERMO F. MOTOLINIA SANCHEZ</t>
  </si>
  <si>
    <t xml:space="preserve">JOSE A. GONZALEZ SOLIS</t>
  </si>
  <si>
    <t xml:space="preserve">J. OMAR PACHECO TAPIA</t>
  </si>
  <si>
    <t xml:space="preserve">RAFAEL MARTINEZ DE JESUS</t>
  </si>
  <si>
    <t xml:space="preserve">VICTOR H. AMBROSIO GUEVARA</t>
  </si>
  <si>
    <t xml:space="preserve">ALEXIS GARCIA ROBLES</t>
  </si>
  <si>
    <t xml:space="preserve">ANGEL R. GUTIERREZ ALVAREZ</t>
  </si>
  <si>
    <t xml:space="preserve">A. RICARDO GUTIERREZ CONTRERAS</t>
  </si>
  <si>
    <t xml:space="preserve">JOSMAR G. CANCHE HERMANDEZ </t>
  </si>
  <si>
    <t xml:space="preserve">BAJA EN ABRIL</t>
  </si>
  <si>
    <t xml:space="preserve">L. ELISEO JUAREZ MORALES</t>
  </si>
  <si>
    <t xml:space="preserve">BAJA EN MAYO</t>
  </si>
  <si>
    <t xml:space="preserve">L. MANUEL SANCHEZ TELLEZ</t>
  </si>
  <si>
    <t xml:space="preserve">BAJA EN MARZO </t>
  </si>
  <si>
    <t xml:space="preserve">DATOS AL 23 DE MARZO 2026</t>
  </si>
  <si>
    <t xml:space="preserve">PAGADO Y NUMERO DE RECIBO</t>
  </si>
  <si>
    <t xml:space="preserve">Dig.·. Resp.·.  Abn.·. y Sesquicent.·. Log.·. Simb.·. FRATERNIDAD No. 1</t>
  </si>
  <si>
    <t xml:space="preserve">INGRESOS Y EGRESOS DEL MES DE      ENERO 2026</t>
  </si>
  <si>
    <t xml:space="preserve">CAPITAS:</t>
  </si>
  <si>
    <t xml:space="preserve">ANIVERSARIO:  </t>
  </si>
  <si>
    <t xml:space="preserve">MIEMBROS</t>
  </si>
  <si>
    <t xml:space="preserve">I N G R E S O S</t>
  </si>
  <si>
    <t xml:space="preserve">ENERO DE 2026</t>
  </si>
  <si>
    <t xml:space="preserve">RECIBO</t>
  </si>
  <si>
    <t xml:space="preserve">M I E M B R O</t>
  </si>
  <si>
    <t xml:space="preserve">CAPITAS</t>
  </si>
  <si>
    <t xml:space="preserve"> ANIV.</t>
  </si>
  <si>
    <t xml:space="preserve">SACO BEN.</t>
  </si>
  <si>
    <t xml:space="preserve">TALLER B.J.</t>
  </si>
  <si>
    <t xml:space="preserve"> OTROS</t>
  </si>
  <si>
    <t xml:space="preserve">TOTAL</t>
  </si>
  <si>
    <t xml:space="preserve">FECHA</t>
  </si>
  <si>
    <t xml:space="preserve">DESCRIPCION</t>
  </si>
  <si>
    <t xml:space="preserve">S/N</t>
  </si>
  <si>
    <t xml:space="preserve">SACO BENEFICENCIA</t>
  </si>
  <si>
    <t xml:space="preserve">INSTALACION C.L.</t>
  </si>
  <si>
    <t xml:space="preserve">001</t>
  </si>
  <si>
    <t xml:space="preserve">002</t>
  </si>
  <si>
    <t xml:space="preserve">003</t>
  </si>
  <si>
    <t xml:space="preserve">SALDO DE CAPITAS DEL AÑO PASADO</t>
  </si>
  <si>
    <t xml:space="preserve">004</t>
  </si>
  <si>
    <t xml:space="preserve">JOSMAR G. CANCHÉ HERNANDEZ</t>
  </si>
  <si>
    <t xml:space="preserve">CAP. AGO-DIC/2025 APOYO POZA RICA</t>
  </si>
  <si>
    <t xml:space="preserve">005</t>
  </si>
  <si>
    <t xml:space="preserve">ENE-FEB 2026</t>
  </si>
  <si>
    <t xml:space="preserve">006</t>
  </si>
  <si>
    <t xml:space="preserve">ANGEL R. GUTIERREZ CONTRERAS</t>
  </si>
  <si>
    <t xml:space="preserve">EGRESOS </t>
  </si>
  <si>
    <t xml:space="preserve">No. </t>
  </si>
  <si>
    <t xml:space="preserve">C O N C E P T O</t>
  </si>
  <si>
    <t xml:space="preserve">CUENTA DE CARGO</t>
  </si>
  <si>
    <t xml:space="preserve">JUSTIFICACION</t>
  </si>
  <si>
    <t xml:space="preserve">ANIVERS.</t>
  </si>
  <si>
    <t xml:space="preserve">SACO BENE</t>
  </si>
  <si>
    <t xml:space="preserve">OTROS</t>
  </si>
  <si>
    <t xml:space="preserve">PAGO A LA GRAN LOGIA ENERO 2026</t>
  </si>
  <si>
    <t xml:space="preserve">COPIAS DE RECIBOS LOGIA</t>
  </si>
  <si>
    <t xml:space="preserve">REMANENTE DEL MES</t>
  </si>
  <si>
    <t xml:space="preserve">ELABORÓ</t>
  </si>
  <si>
    <t xml:space="preserve">REVISÓ</t>
  </si>
  <si>
    <t xml:space="preserve">AUTORIZÓ</t>
  </si>
  <si>
    <t xml:space="preserve">TES:.</t>
  </si>
  <si>
    <t xml:space="preserve">PDTE. COMISION DE HDA.</t>
  </si>
  <si>
    <t xml:space="preserve">VEN:. MAES:.</t>
  </si>
  <si>
    <t xml:space="preserve">INGRESOS Y EGRESOS DEL MES DE      FEBRERO 2026</t>
  </si>
  <si>
    <t xml:space="preserve">N7</t>
  </si>
  <si>
    <t xml:space="preserve">LEOPOLDO GARCIA M.</t>
  </si>
  <si>
    <t xml:space="preserve">PAGO ENERO 2026</t>
  </si>
  <si>
    <t xml:space="preserve">N8</t>
  </si>
  <si>
    <t xml:space="preserve">AULIO C. IBARRA Z.</t>
  </si>
  <si>
    <t xml:space="preserve">PAGO ENE-FEB 26</t>
  </si>
  <si>
    <t xml:space="preserve">N9</t>
  </si>
  <si>
    <t xml:space="preserve">GABINO S.SANTAMARIA D.</t>
  </si>
  <si>
    <t xml:space="preserve">10</t>
  </si>
  <si>
    <t xml:space="preserve">PAGO FEB 2026</t>
  </si>
  <si>
    <t xml:space="preserve">11</t>
  </si>
  <si>
    <t xml:space="preserve">JORGE L.MENDOZA S.</t>
  </si>
  <si>
    <t xml:space="preserve">12</t>
  </si>
  <si>
    <t xml:space="preserve">VICTOR H. AMBROSIO G.</t>
  </si>
  <si>
    <t xml:space="preserve">PAGO DIC 2025</t>
  </si>
  <si>
    <t xml:space="preserve">13</t>
  </si>
  <si>
    <t xml:space="preserve">RAFAEL MARTINEZ  DE J.</t>
  </si>
  <si>
    <t xml:space="preserve">PAGO ENE-JUN 26</t>
  </si>
  <si>
    <t xml:space="preserve">14</t>
  </si>
  <si>
    <t xml:space="preserve">LUIS ENRIQUE RAMON V.</t>
  </si>
  <si>
    <t xml:space="preserve">PAGO ENE-MAY 26</t>
  </si>
  <si>
    <t xml:space="preserve">15</t>
  </si>
  <si>
    <t xml:space="preserve">DAVID GARCIA M.</t>
  </si>
  <si>
    <t xml:space="preserve">MESES</t>
  </si>
  <si>
    <t xml:space="preserve">16</t>
  </si>
  <si>
    <t xml:space="preserve">JOSE ALFREDO GONZALEZ S.</t>
  </si>
  <si>
    <t xml:space="preserve">DIC/25 Y ENE-FEB/26</t>
  </si>
  <si>
    <t xml:space="preserve">17</t>
  </si>
  <si>
    <t xml:space="preserve">JOSE OMAR PACHECO T.</t>
  </si>
  <si>
    <t xml:space="preserve">ENE-FEB/26</t>
  </si>
  <si>
    <t xml:space="preserve">18</t>
  </si>
  <si>
    <t xml:space="preserve">LUIS ELISEO JUAREZ M.</t>
  </si>
  <si>
    <t xml:space="preserve">DIC/25 Y ENE/26</t>
  </si>
  <si>
    <t xml:space="preserve">20</t>
  </si>
  <si>
    <t xml:space="preserve">RAFAEL MARTINEZ DEL A.</t>
  </si>
  <si>
    <r>
      <rPr>
        <sz val="11"/>
        <color rgb="FF000000"/>
        <rFont val="Calibri"/>
        <family val="2"/>
        <charset val="1"/>
      </rPr>
      <t xml:space="preserve">JUL-NOV/26  </t>
    </r>
    <r>
      <rPr>
        <b val="true"/>
        <sz val="11"/>
        <color rgb="FF000000"/>
        <rFont val="Calibri"/>
        <family val="2"/>
        <charset val="1"/>
      </rPr>
      <t xml:space="preserve">100 A FAVOR</t>
    </r>
  </si>
  <si>
    <t xml:space="preserve">22</t>
  </si>
  <si>
    <t xml:space="preserve">A. RICARDO GUTIERREZ C.</t>
  </si>
  <si>
    <t xml:space="preserve">25 FE</t>
  </si>
  <si>
    <t xml:space="preserve">CAP. FEBRERO</t>
  </si>
  <si>
    <t xml:space="preserve">COMPRA DE PAPELERIA</t>
  </si>
  <si>
    <t xml:space="preserve">PAGO A GLUM MES FEB/26</t>
  </si>
  <si>
    <t xml:space="preserve">APERT. CTA. BANCO</t>
  </si>
  <si>
    <t xml:space="preserve">INGRESOS Y EGRESOS DEL MES DE      MARZO 2026</t>
  </si>
  <si>
    <t xml:space="preserve">19</t>
  </si>
  <si>
    <t xml:space="preserve">ANGEL R. GUTIERREZ A.</t>
  </si>
  <si>
    <r>
      <rPr>
        <sz val="11"/>
        <color rgb="FF000000"/>
        <rFont val="Calibri"/>
        <family val="2"/>
        <charset val="1"/>
      </rPr>
      <t xml:space="preserve">DE POLO ENE-MAR/2026 </t>
    </r>
    <r>
      <rPr>
        <b val="true"/>
        <sz val="11"/>
        <color rgb="FF000000"/>
        <rFont val="Calibri"/>
        <family val="2"/>
        <charset val="1"/>
      </rPr>
      <t xml:space="preserve">50 A FAVOR</t>
    </r>
  </si>
  <si>
    <t xml:space="preserve">21</t>
  </si>
  <si>
    <t xml:space="preserve">LUIS RODRIGUEZ M</t>
  </si>
  <si>
    <t xml:space="preserve">ENE-MAR/2026</t>
  </si>
  <si>
    <t xml:space="preserve">23</t>
  </si>
  <si>
    <t xml:space="preserve">GABINO S. SANTAMARIA </t>
  </si>
  <si>
    <t xml:space="preserve">CAPS. MAR/2026</t>
  </si>
  <si>
    <t xml:space="preserve">24</t>
  </si>
  <si>
    <t xml:space="preserve">RECIBOS 19 Y 29 DEVOLUCIONES DE LEOPOLDO</t>
  </si>
  <si>
    <t xml:space="preserve">25</t>
  </si>
  <si>
    <t xml:space="preserve">CAPS. FEB/2026</t>
  </si>
  <si>
    <t xml:space="preserve">26</t>
  </si>
  <si>
    <r>
      <rPr>
        <sz val="11"/>
        <color rgb="FF000000"/>
        <rFont val="Calibri"/>
        <family val="2"/>
        <charset val="1"/>
      </rPr>
      <t xml:space="preserve">P.RICA , FEB/2026 </t>
    </r>
    <r>
      <rPr>
        <b val="true"/>
        <sz val="11"/>
        <color rgb="FF000000"/>
        <rFont val="Calibri"/>
        <family val="2"/>
        <charset val="1"/>
      </rPr>
      <t xml:space="preserve">22 PESOS A FAVOR</t>
    </r>
  </si>
  <si>
    <t xml:space="preserve">27</t>
  </si>
  <si>
    <t xml:space="preserve">FONDO ANIVERSARI</t>
  </si>
  <si>
    <t xml:space="preserve">28</t>
  </si>
  <si>
    <t xml:space="preserve">FONDO DE CAPITAS</t>
  </si>
  <si>
    <t xml:space="preserve">29</t>
  </si>
  <si>
    <t xml:space="preserve">C A N C E L A D O</t>
  </si>
  <si>
    <t xml:space="preserve">30</t>
  </si>
  <si>
    <t xml:space="preserve">CAP. MAR/2026</t>
  </si>
  <si>
    <t xml:space="preserve">31</t>
  </si>
  <si>
    <t xml:space="preserve">RAFAEL MARTINEZ DE J.</t>
  </si>
  <si>
    <t xml:space="preserve">CAP. DIC/2026</t>
  </si>
  <si>
    <t xml:space="preserve">32</t>
  </si>
  <si>
    <t xml:space="preserve">OMAR PACHECO T.</t>
  </si>
  <si>
    <t xml:space="preserve">33</t>
  </si>
  <si>
    <t xml:space="preserve">CAP. ENE-FEB726</t>
  </si>
  <si>
    <t xml:space="preserve">34</t>
  </si>
  <si>
    <t xml:space="preserve">CAP. FEBRERO/2026</t>
  </si>
  <si>
    <t xml:space="preserve">35</t>
  </si>
  <si>
    <t xml:space="preserve">L. MANUEL GONZALEZ T.</t>
  </si>
  <si>
    <t xml:space="preserve">P.R.+ NOV-DIC/2025</t>
  </si>
  <si>
    <t xml:space="preserve">36</t>
  </si>
  <si>
    <t xml:space="preserve">MAR-ABR/2026</t>
  </si>
  <si>
    <t xml:space="preserve">37</t>
  </si>
  <si>
    <t xml:space="preserve">CAP. MAR-ABR/26</t>
  </si>
  <si>
    <t xml:space="preserve">38</t>
  </si>
  <si>
    <t xml:space="preserve">ENTREGA TESORERIA</t>
  </si>
  <si>
    <t xml:space="preserve">39</t>
  </si>
  <si>
    <t xml:space="preserve">JORGE L. MENDOZA S.</t>
  </si>
  <si>
    <t xml:space="preserve">40</t>
  </si>
  <si>
    <t xml:space="preserve">41</t>
  </si>
  <si>
    <t xml:space="preserve">CAP. MAR Y BOLETO RIFA</t>
  </si>
  <si>
    <t xml:space="preserve">42</t>
  </si>
  <si>
    <t xml:space="preserve">CAP. MAR 2026</t>
  </si>
  <si>
    <t xml:space="preserve">DEPOSITO DE CAPITAS A BANCO</t>
  </si>
  <si>
    <t xml:space="preserve">COPIAS DE ENTREGA TESOR</t>
  </si>
  <si>
    <t xml:space="preserve">PAGO A GLUM MES MAR/26</t>
  </si>
  <si>
    <t xml:space="preserve">BOLETO RIFA ALFREDO GONZALEZ</t>
  </si>
  <si>
    <t xml:space="preserve">INGRESOS Y EGRESOS DEL MES DE      ABRIL 2026</t>
  </si>
  <si>
    <t xml:space="preserve">43</t>
  </si>
  <si>
    <t xml:space="preserve">GUILLERMO F MOTOLINIA S.</t>
  </si>
  <si>
    <t xml:space="preserve">50 PESOS A FAVOR</t>
  </si>
  <si>
    <t xml:space="preserve">44</t>
  </si>
  <si>
    <t xml:space="preserve">OMAR PACHECO  ABR/26</t>
  </si>
  <si>
    <t xml:space="preserve">CAPITAS DE ABRIL</t>
  </si>
  <si>
    <t xml:space="preserve">45</t>
  </si>
  <si>
    <t xml:space="preserve">A. RICARDO GUTIERREZ  ABR</t>
  </si>
  <si>
    <t xml:space="preserve">46</t>
  </si>
  <si>
    <t xml:space="preserve">JOSMAR CANCHE   MAR/26</t>
  </si>
  <si>
    <t xml:space="preserve">CAP. MAR  SOL. BAJA</t>
  </si>
  <si>
    <t xml:space="preserve">47 </t>
  </si>
  <si>
    <t xml:space="preserve">DAVID GARCIA  ABR/26</t>
  </si>
  <si>
    <t xml:space="preserve">CAP. ABRIL</t>
  </si>
  <si>
    <t xml:space="preserve">48</t>
  </si>
  <si>
    <t xml:space="preserve">LUIS RODRIGUEZ  ABR-JUN</t>
  </si>
  <si>
    <t xml:space="preserve">CAPS. ABR-JUNIO</t>
  </si>
  <si>
    <t xml:space="preserve">49</t>
  </si>
  <si>
    <t xml:space="preserve">LEOPOLDO GARCIA  ABRIL</t>
  </si>
  <si>
    <t xml:space="preserve">50</t>
  </si>
  <si>
    <t xml:space="preserve">GABINO SANTAMARIA  ABR</t>
  </si>
  <si>
    <t xml:space="preserve">DONACION  AULIO IBARRA</t>
  </si>
  <si>
    <t xml:space="preserve">JARDIN H. JARA</t>
  </si>
  <si>
    <t xml:space="preserve">51</t>
  </si>
  <si>
    <t xml:space="preserve">ALEXIS GARCIA  ABRIL</t>
  </si>
  <si>
    <t xml:space="preserve">CAPS. ABRIL</t>
  </si>
  <si>
    <t xml:space="preserve">DIA NIÑO A JARDIN H. JARA</t>
  </si>
  <si>
    <t xml:space="preserve">FESTEJO DIA NIÑO A GLUM</t>
  </si>
  <si>
    <t xml:space="preserve">PAGO A GLUM</t>
  </si>
  <si>
    <t xml:space="preserve">CONVIVIO AJEF 21 MARZO</t>
  </si>
  <si>
    <t xml:space="preserve">ESTANTERIA SECRETARIA B</t>
  </si>
  <si>
    <t xml:space="preserve">INGRESOS Y EGRESOS DEL MES DE      MAYO 2026</t>
  </si>
  <si>
    <t xml:space="preserve">52</t>
  </si>
  <si>
    <t xml:space="preserve">AULIO IBARRA  MAY-JUN</t>
  </si>
  <si>
    <t xml:space="preserve">53</t>
  </si>
  <si>
    <t xml:space="preserve">J. ALFREDO GONZALEZ ABR</t>
  </si>
  <si>
    <t xml:space="preserve">54</t>
  </si>
  <si>
    <t xml:space="preserve">JORGE L. MENDOZA  MAY-JUN</t>
  </si>
  <si>
    <t xml:space="preserve">SACO DE BENEFICENCIA</t>
  </si>
  <si>
    <t xml:space="preserve">55</t>
  </si>
  <si>
    <t xml:space="preserve">RICARDO GUTIERREZ    MAY</t>
  </si>
  <si>
    <t xml:space="preserve">56</t>
  </si>
  <si>
    <t xml:space="preserve">OMAR PACHECO    MAY</t>
  </si>
  <si>
    <t xml:space="preserve">CAPITAS GLUM</t>
  </si>
  <si>
    <t xml:space="preserve">POST MORTEM  GLUM</t>
  </si>
  <si>
    <t xml:space="preserve">INGRESOS Y EGRESOS DEL MES DE      JUNIO 2026</t>
  </si>
  <si>
    <t xml:space="preserve">57</t>
  </si>
  <si>
    <t xml:space="preserve">VICTOR H. AMBROSIO </t>
  </si>
  <si>
    <t xml:space="preserve">MAYO Y JUNO</t>
  </si>
  <si>
    <t xml:space="preserve">58</t>
  </si>
  <si>
    <t xml:space="preserve">GABINO SANTAMARIA</t>
  </si>
  <si>
    <t xml:space="preserve">59</t>
  </si>
  <si>
    <t xml:space="preserve">DAVID GARCIA</t>
  </si>
  <si>
    <t xml:space="preserve">MAY-JUNIO</t>
  </si>
  <si>
    <t xml:space="preserve">SAC BENEFICENCIA</t>
  </si>
  <si>
    <t xml:space="preserve">2 UN</t>
  </si>
  <si>
    <t xml:space="preserve">NO SE TABAJ</t>
  </si>
  <si>
    <t xml:space="preserve">60</t>
  </si>
  <si>
    <t xml:space="preserve">ALEXIS GARCIA  MAY</t>
  </si>
  <si>
    <t xml:space="preserve">TRANSFERENCIA</t>
  </si>
  <si>
    <t xml:space="preserve">61</t>
  </si>
  <si>
    <t xml:space="preserve">ANGEL GUTIERREZ</t>
  </si>
  <si>
    <t xml:space="preserve">ABR- MAY-JUN</t>
  </si>
  <si>
    <t xml:space="preserve">62</t>
  </si>
  <si>
    <t xml:space="preserve">JUL-AGO-SEPT</t>
  </si>
  <si>
    <t xml:space="preserve">63</t>
  </si>
  <si>
    <t xml:space="preserve">RICARDO GUTIERREZ</t>
  </si>
  <si>
    <t xml:space="preserve">JUNIO</t>
  </si>
  <si>
    <t xml:space="preserve">64</t>
  </si>
  <si>
    <t xml:space="preserve">OMAR PACHECO</t>
  </si>
  <si>
    <t xml:space="preserve">65</t>
  </si>
  <si>
    <t xml:space="preserve">ENRIQUE RAMON (MESERO)</t>
  </si>
  <si>
    <t xml:space="preserve">66</t>
  </si>
  <si>
    <t xml:space="preserve">ENRIQUE RAMON    JUN </t>
  </si>
  <si>
    <t xml:space="preserve">67</t>
  </si>
  <si>
    <t xml:space="preserve">ENRIQUE RAMON JUL  A  NOV</t>
  </si>
  <si>
    <t xml:space="preserve">ABONO ANIVERSARIO</t>
  </si>
  <si>
    <t xml:space="preserve">ALIMENTOS DEL ANIVERSARIO</t>
  </si>
  <si>
    <t xml:space="preserve">INSUMOS VARIOS</t>
  </si>
  <si>
    <t xml:space="preserve">INGRESOS Y EGRESOS DEL MES DE      JULIO 2026</t>
  </si>
  <si>
    <t xml:space="preserve">68</t>
  </si>
  <si>
    <t xml:space="preserve">ALEXIS GARCIA</t>
  </si>
  <si>
    <t xml:space="preserve">69</t>
  </si>
  <si>
    <t xml:space="preserve">PARCIAL  DE JULIO</t>
  </si>
  <si>
    <t xml:space="preserve">70</t>
  </si>
  <si>
    <t xml:space="preserve">J. ALFREDO GONZALEZ</t>
  </si>
  <si>
    <t xml:space="preserve">CAPS. MAYO-JUNIO</t>
  </si>
  <si>
    <t xml:space="preserve">71</t>
  </si>
  <si>
    <t xml:space="preserve">GABINO S. SANTAMARIA</t>
  </si>
  <si>
    <t xml:space="preserve">CAP. JULIO</t>
  </si>
  <si>
    <t xml:space="preserve">72</t>
  </si>
  <si>
    <t xml:space="preserve">AULIO C. IBARRA</t>
  </si>
  <si>
    <t xml:space="preserve">CAPS. JUL-AGO</t>
  </si>
  <si>
    <t xml:space="preserve">73</t>
  </si>
  <si>
    <t xml:space="preserve">INFORME MENSUAL DE RESULTADOS FINANCIEROS </t>
  </si>
  <si>
    <t xml:space="preserve">MIEMBROS ACTIVOS</t>
  </si>
  <si>
    <t xml:space="preserve">FECHA:</t>
  </si>
  <si>
    <t xml:space="preserve">ENERO 2026</t>
  </si>
  <si>
    <t xml:space="preserve">INGRESO</t>
  </si>
  <si>
    <t xml:space="preserve">MES ANT.</t>
  </si>
  <si>
    <t xml:space="preserve">SUB TOTAL</t>
  </si>
  <si>
    <t xml:space="preserve">EGRESO</t>
  </si>
  <si>
    <t xml:space="preserve">SALDO TOTAL</t>
  </si>
  <si>
    <t xml:space="preserve"> ANIVERSARIO</t>
  </si>
  <si>
    <t xml:space="preserve">INGRESOS</t>
  </si>
  <si>
    <t xml:space="preserve"> SACO DE BENEFICENCIA</t>
  </si>
  <si>
    <t xml:space="preserve">T A L L E R  B E N I T O   J U A R E Z </t>
  </si>
  <si>
    <r>
      <rPr>
        <b val="true"/>
        <sz val="16"/>
        <rFont val="Calibri"/>
        <family val="2"/>
        <charset val="1"/>
      </rPr>
      <t xml:space="preserve">OTROS </t>
    </r>
    <r>
      <rPr>
        <sz val="16"/>
        <rFont val="Calibri"/>
        <family val="2"/>
        <charset val="1"/>
      </rPr>
      <t xml:space="preserve">(Poza Rica)</t>
    </r>
  </si>
  <si>
    <t xml:space="preserve">SUMA TOTAL</t>
  </si>
  <si>
    <t xml:space="preserve">PRESIDENTE COM. HDA.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</si>
  <si>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</si>
  <si>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</si>
  <si>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</si>
  <si>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</si>
  <si>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</si>
  <si>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OTROS </t>
  </si>
  <si>
    <t xml:space="preserve">REMESA DE FONDOS MENSUAL QUE SE RINDE EN CUMPLIMIENTO DE LO QUE DISPONE EL ART. 60 DEL REGLAMENTO DE LA GR:. LOG:.</t>
  </si>
  <si>
    <r>
      <rPr>
        <sz val="10"/>
        <color rgb="FF000000"/>
        <rFont val="Calibri"/>
        <family val="2"/>
        <charset val="1"/>
      </rPr>
      <t xml:space="preserve">"</t>
    </r>
    <r>
      <rPr>
        <sz val="9"/>
        <color rgb="FF000000"/>
        <rFont val="Calibri"/>
        <family val="2"/>
        <charset val="1"/>
      </rPr>
      <t xml:space="preserve">UNIDA MEXICANA" Y DE LL:. Y AA:. MM:. DEL GR:. OR:. DE VERACRUZ</t>
    </r>
  </si>
  <si>
    <t xml:space="preserve">RESP:. LOG:. SIMB:. </t>
  </si>
  <si>
    <t xml:space="preserve">FRATERNIDAD No. 1</t>
  </si>
  <si>
    <t xml:space="preserve">MES :</t>
  </si>
  <si>
    <t xml:space="preserve">DETALLE DE LA APLICACIÓN</t>
  </si>
  <si>
    <t xml:space="preserve">AUX:. MAS:. "POST    MORTEM"</t>
  </si>
  <si>
    <t xml:space="preserve">GRAN LOGIA</t>
  </si>
  <si>
    <t xml:space="preserve">MES</t>
  </si>
  <si>
    <t xml:space="preserve">HH:.</t>
  </si>
  <si>
    <t xml:space="preserve">COSTO</t>
  </si>
  <si>
    <t xml:space="preserve">MENSUAL</t>
  </si>
  <si>
    <t xml:space="preserve">DERECHOS</t>
  </si>
  <si>
    <t xml:space="preserve">INICIACIONES</t>
  </si>
  <si>
    <t xml:space="preserve">AUMENTO DE SALARIO</t>
  </si>
  <si>
    <t xml:space="preserve">EXALTACIONES</t>
  </si>
  <si>
    <t xml:space="preserve">REGULARIZACIONES</t>
  </si>
  <si>
    <t xml:space="preserve">AFILIACION</t>
  </si>
  <si>
    <t xml:space="preserve">DIVERSOS</t>
  </si>
  <si>
    <t xml:space="preserve">REVISTA UNIDAD MEXICANA (SIMBOLISMO)</t>
  </si>
  <si>
    <t xml:space="preserve">CONF:. GGR:. LLOG:. REP.MEX.</t>
  </si>
  <si>
    <t xml:space="preserve">---</t>
  </si>
  <si>
    <t xml:space="preserve">CONF:. MAS:. INTERAMERICANA</t>
  </si>
  <si>
    <t xml:space="preserve">SERVICIOS</t>
  </si>
  <si>
    <t xml:space="preserve">OTROS:  FONDO DE CONTINGENCIA</t>
  </si>
  <si>
    <t xml:space="preserve">AUX:. MAS:. "POST MORTEM"</t>
  </si>
  <si>
    <t xml:space="preserve">CUOTAS INICIALES</t>
  </si>
  <si>
    <t xml:space="preserve">CUOTAS MENSUALES</t>
  </si>
  <si>
    <t xml:space="preserve">DEFUNCION No. DEL</t>
  </si>
  <si>
    <t xml:space="preserve">AL</t>
  </si>
  <si>
    <t xml:space="preserve">SUBTOTAL</t>
  </si>
  <si>
    <t xml:space="preserve">ALTAS EN EL MES</t>
  </si>
  <si>
    <t xml:space="preserve">MOVIMIENTOS EN EL MES</t>
  </si>
  <si>
    <t xml:space="preserve">MAESTROS</t>
  </si>
  <si>
    <t xml:space="preserve">INIC.</t>
  </si>
  <si>
    <t xml:space="preserve">AUM. SAL</t>
  </si>
  <si>
    <t xml:space="preserve">COMPAÑEROS</t>
  </si>
  <si>
    <t xml:space="preserve">AFIL.</t>
  </si>
  <si>
    <t xml:space="preserve">EXALT</t>
  </si>
  <si>
    <t xml:space="preserve">APRENDICES</t>
  </si>
  <si>
    <t xml:space="preserve">REG.</t>
  </si>
  <si>
    <t xml:space="preserve">BAJAS EN EL MES</t>
  </si>
  <si>
    <t xml:space="preserve">BORRADOS POR FALTAS REGLAMENTARIAS</t>
  </si>
  <si>
    <t xml:space="preserve">M.L.O.</t>
  </si>
  <si>
    <t xml:space="preserve">SEPARADOS POR PL:. DE QUITE</t>
  </si>
  <si>
    <t xml:space="preserve">M. ALT. CAM</t>
  </si>
  <si>
    <t xml:space="preserve">RESUMEN</t>
  </si>
  <si>
    <t xml:space="preserve">MMIEMB.ACTI. MES ANTERIOR</t>
  </si>
  <si>
    <t xml:space="preserve">MMIEMB.ACTI. PRESENTE MES </t>
  </si>
  <si>
    <t xml:space="preserve">DIFERENCIA HH:. DEL TALLER</t>
  </si>
  <si>
    <t xml:space="preserve">     OR:. DE VERACRUZ, VER. A.</t>
  </si>
  <si>
    <t xml:space="preserve">Elaboró</t>
  </si>
  <si>
    <t xml:space="preserve">Vo.  Bo.</t>
  </si>
  <si>
    <t xml:space="preserve">Enterado</t>
  </si>
  <si>
    <t xml:space="preserve">VEN:. MAEST:.</t>
  </si>
  <si>
    <r>
      <rPr>
        <b val="true"/>
        <sz val="10"/>
        <color rgb="FF000000"/>
        <rFont val="Calibri"/>
        <family val="2"/>
        <charset val="1"/>
      </rPr>
      <t xml:space="preserve">REMESA DE FONDOS MENSUAL</t>
    </r>
    <r>
      <rPr>
        <sz val="11"/>
        <color rgb="FF000000"/>
        <rFont val="Calibri"/>
        <family val="2"/>
        <charset val="1"/>
      </rPr>
      <t xml:space="preserve"> </t>
    </r>
    <r>
      <rPr>
        <sz val="9"/>
        <color rgb="FF000000"/>
        <rFont val="Calibri"/>
        <family val="2"/>
        <charset val="1"/>
      </rPr>
      <t xml:space="preserve">QUE SE RINDE EN CUMPLIMIENTO DE LO QUE DISPONE EL ART. 60 DEL REGLAMENTO DE LA GR:. LOG:.</t>
    </r>
  </si>
  <si>
    <t xml:space="preserve">RESP:. LOG:. SIMB:. "FRATERNIDAD No. 1" OR:. DE VERACRUZ, VER.</t>
  </si>
  <si>
    <t xml:space="preserve">RELACION DE MIEMBROS ACTIVOS CORRESPONDIENTE AL : </t>
  </si>
  <si>
    <t xml:space="preserve">NOMBRE Y GRADO</t>
  </si>
  <si>
    <t xml:space="preserve">MM:. MM:.</t>
  </si>
  <si>
    <t xml:space="preserve">GABINO SABITRI SANTAMARIA DELGADO</t>
  </si>
  <si>
    <t xml:space="preserve">V:. M:.</t>
  </si>
  <si>
    <t xml:space="preserve">P:. V:.</t>
  </si>
  <si>
    <t xml:space="preserve">S:. V:.</t>
  </si>
  <si>
    <t xml:space="preserve">JORJE LUIS MENDOZA SORIANO</t>
  </si>
  <si>
    <t xml:space="preserve">SEC:.</t>
  </si>
  <si>
    <t xml:space="preserve">ORA:.</t>
  </si>
  <si>
    <t xml:space="preserve">LUIS ENRIQUE RAMON VILABOA</t>
  </si>
  <si>
    <t xml:space="preserve">M:. CC:.</t>
  </si>
  <si>
    <t xml:space="preserve">CC:. MM:.</t>
  </si>
  <si>
    <t xml:space="preserve">AULIO CESAR IBARRA ZAVALA</t>
  </si>
  <si>
    <t xml:space="preserve">GUILLERMO FRANCISCO MOTOLINIA DELGADO</t>
  </si>
  <si>
    <t xml:space="preserve">JOSE ALFREDO GONZALEZ SOLIS</t>
  </si>
  <si>
    <t xml:space="preserve">JOSE OMAR PACHECO TAPIA</t>
  </si>
  <si>
    <t xml:space="preserve">VICTOR HUGO AMBROSIO GUEVARA</t>
  </si>
  <si>
    <t xml:space="preserve">AAP:. MM:.</t>
  </si>
  <si>
    <t xml:space="preserve">ALEXIS GARCIA GUERRA </t>
  </si>
  <si>
    <t xml:space="preserve">ANGEL RICARDO GUTIERREZ ALVAREZ</t>
  </si>
  <si>
    <t xml:space="preserve">ANGEL RICARDO GUTIERREZ CONTRERAS</t>
  </si>
  <si>
    <t xml:space="preserve">JOSMAR GABRIEL CANCHE HERMANDEZ </t>
  </si>
  <si>
    <t xml:space="preserve">LUIS ELISEO JUAREZ MORALES </t>
  </si>
  <si>
    <t xml:space="preserve">M:. L:. O:.</t>
  </si>
  <si>
    <t xml:space="preserve">ALTAS                  BAJAS          Y        MOVIMIENTOS</t>
  </si>
  <si>
    <t xml:space="preserve">N  O  M  B  R  E</t>
  </si>
  <si>
    <t xml:space="preserve">GRADO</t>
  </si>
  <si>
    <t xml:space="preserve">MOVTO.</t>
  </si>
  <si>
    <t xml:space="preserve">CONCEPTO DEL MISMO</t>
  </si>
  <si>
    <t xml:space="preserve">LUIS MANUEL SANCHEZ TELLEZ</t>
  </si>
  <si>
    <t xml:space="preserve">1</t>
  </si>
  <si>
    <t xml:space="preserve">BAJA</t>
  </si>
  <si>
    <t xml:space="preserve">FALTA DE ASISTENCIA Y PAGO</t>
  </si>
  <si>
    <t xml:space="preserve">GABIN O S. SANTAMARIA DELGADO</t>
  </si>
  <si>
    <t xml:space="preserve">JORJE L. MENDOZA SORIANO</t>
  </si>
  <si>
    <t xml:space="preserve">GUILLERMO F. MOTOLINIA DELGADO</t>
  </si>
  <si>
    <t xml:space="preserve">ALEXIS GUERRA GARCIA</t>
  </si>
  <si>
    <t xml:space="preserve">L. ELISEO JUAREZ </t>
  </si>
  <si>
    <t xml:space="preserve">L.MANUEL SANCHEZ TELLEZ</t>
  </si>
  <si>
    <t xml:space="preserve">BAJA EN MARZO</t>
  </si>
  <si>
    <t xml:space="preserve">D  E  F  U  N  C  I  O  N  E  S </t>
  </si>
  <si>
    <t xml:space="preserve">2  0  2 6</t>
  </si>
  <si>
    <t xml:space="preserve">No.</t>
  </si>
  <si>
    <t xml:space="preserve">GRAN CIRC. </t>
  </si>
  <si>
    <t xml:space="preserve">DEFUNC</t>
  </si>
  <si>
    <t xml:space="preserve">NOMBRE</t>
  </si>
  <si>
    <t xml:space="preserve">LOGIA</t>
  </si>
  <si>
    <t xml:space="preserve">ORIENTE</t>
  </si>
  <si>
    <t xml:space="preserve">PAGADO</t>
  </si>
  <si>
    <t xml:space="preserve">17/2025</t>
  </si>
  <si>
    <t xml:space="preserve">JESUS MARTIN CARRION BRAVO</t>
  </si>
  <si>
    <t xml:space="preserve">YANGA No. 15</t>
  </si>
  <si>
    <t xml:space="preserve">CORDOBA, VER</t>
  </si>
  <si>
    <t xml:space="preserve">18/2025</t>
  </si>
  <si>
    <t xml:space="preserve">MARCELINO CEBALLOS ZAMARRON</t>
  </si>
  <si>
    <t xml:space="preserve">FRATERNIDAD No. 11</t>
  </si>
  <si>
    <t xml:space="preserve">JALAPA, VER.</t>
  </si>
  <si>
    <t xml:space="preserve">19/2026</t>
  </si>
  <si>
    <t xml:space="preserve">VICTOR MANUEL ESPINOZA BASTIAN</t>
  </si>
  <si>
    <t xml:space="preserve">MAHATMA GANDHI No. 3</t>
  </si>
  <si>
    <t xml:space="preserve">POZA RICA, Ver.</t>
  </si>
  <si>
    <t xml:space="preserve">20/2026</t>
  </si>
  <si>
    <t xml:space="preserve">EFREN USCANGA BRAVO</t>
  </si>
  <si>
    <t xml:space="preserve">CATEMACO No. 68</t>
  </si>
  <si>
    <t xml:space="preserve">CATEMACO, VER.</t>
  </si>
  <si>
    <t xml:space="preserve">29/2026</t>
  </si>
  <si>
    <t xml:space="preserve">JUAN CARLOS ENCISO MENDEZ</t>
  </si>
  <si>
    <t xml:space="preserve">DEP. DEL OTE. 17</t>
  </si>
  <si>
    <t xml:space="preserve">40/2026</t>
  </si>
  <si>
    <t xml:space="preserve">MARIO RODRIGUEZ CASTELLANOS</t>
  </si>
  <si>
    <t xml:space="preserve">FRATER Y PROG 50</t>
  </si>
  <si>
    <t xml:space="preserve">TUXPAN, VER.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</si>
</sst>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@"/>
    <numFmt numFmtId="166" formatCode="\$#,##0.00"/>
    <numFmt numFmtId="167" formatCode="_-\$* #,##0.00_-;&quot;-$&quot;* #,##0.00_-;_-\$* \-??_-;_-@_-"/>
    <numFmt numFmtId="168" formatCode="mm/yy"/>
    <numFmt numFmtId="169" formatCode="0.00"/>
    <numFmt numFmtId="170" formatCode="d&quot; de &quot;mmm&quot; de &quot;yy"/>
    <numFmt numFmtId="171" formatCode="dd/mmm"/>
    <numFmt numFmtId="172" formatCode="#,##0.00"/>
    <numFmt numFmtId="173" formatCode="\$#,##0.00;[RED]&quot;-$&quot;#,##0.00"/>
    <numFmt numFmtId="174" formatCode="dd/mm/yyyy;@"/>
    <numFmt numFmtId="175" formatCode="dd/mm/yyyy"/>
  </numFmts>
  <fonts count="4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 Black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1"/>
      <name val="Calibri"/>
      <family val="2"/>
      <charset val="1"/>
    </font>
    <font>
      <sz val="10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0"/>
      <color rgb="FF993300"/>
      <name val="Calibri"/>
      <family val="2"/>
      <charset val="1"/>
    </font>
    <font>
      <sz val="10"/>
      <name val="Calibri"/>
      <family val="2"/>
      <charset val="1"/>
    </font>
    <font>
      <sz val="11"/>
      <color rgb="FF000000"/>
      <name val="Arial Black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1"/>
      <color rgb="FF0066CC"/>
      <name val="Calibri"/>
      <family val="2"/>
      <charset val="1"/>
    </font>
    <font>
      <sz val="11"/>
      <color rgb="FF0066CC"/>
      <name val="Calibri"/>
      <family val="2"/>
      <charset val="1"/>
    </font>
    <font>
      <sz val="11"/>
      <color rgb="FF993300"/>
      <name val="Calibri"/>
      <family val="2"/>
      <charset val="1"/>
    </font>
    <font>
      <b val="true"/>
      <u val="single"/>
      <sz val="12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2"/>
      <name val="Arial"/>
      <family val="2"/>
      <charset val="1"/>
    </font>
    <font>
      <sz val="12"/>
      <color rgb="FF000000"/>
      <name val="Calibri"/>
      <family val="2"/>
      <charset val="1"/>
    </font>
    <font>
      <b val="true"/>
      <sz val="16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"/>
    </font>
    <font>
      <sz val="16"/>
      <name val="Calibri"/>
      <family val="2"/>
      <charset val="1"/>
    </font>
    <font>
      <b val="true"/>
      <sz val="10"/>
      <color rgb="FF000000"/>
      <name val="Arial Black"/>
      <family val="2"/>
      <charset val="1"/>
    </font>
    <font>
      <sz val="9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9"/>
      <color rgb="FF000000"/>
      <name val="Calibri"/>
      <family val="2"/>
      <charset val="1"/>
    </font>
    <font>
      <b val="true"/>
      <sz val="8"/>
      <color rgb="FF000000"/>
      <name val="Arial"/>
      <family val="2"/>
      <charset val="1"/>
    </font>
    <font>
      <b val="true"/>
      <sz val="10"/>
      <name val="Calibri"/>
      <family val="2"/>
      <charset val="1"/>
    </font>
    <font>
      <sz val="8"/>
      <color rgb="FF000000"/>
      <name val="Calibri"/>
      <family val="2"/>
      <charset val="1"/>
    </font>
    <font>
      <sz val="9"/>
      <name val="Calibri"/>
      <family val="2"/>
      <charset val="1"/>
    </font>
    <font>
      <b val="true"/>
      <sz val="8"/>
      <color rgb="FF000000"/>
      <name val="Calibri"/>
      <family val="2"/>
      <charset val="1"/>
    </font>
    <font>
      <sz val="9"/>
      <color rgb="FFFF0000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2"/>
      <color rgb="FF000000"/>
      <name val="Arial Narrow"/>
      <family val="2"/>
      <charset val="1"/>
    </font>
    <font>
      <b val="true"/>
      <sz val="16"/>
      <color rgb="FF000000"/>
      <name val="Calibri"/>
      <family val="2"/>
      <charset val="1"/>
    </font>
    <font>
      <sz val="12"/>
      <color rgb="FF993300"/>
      <name val="Calibri"/>
      <family val="2"/>
      <charset val="1"/>
    </font>
    <font>
      <b val="true"/>
      <sz val="12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99CC00"/>
        <bgColor rgb="FFFFCC00"/>
      </patternFill>
    </fill>
    <fill>
      <patternFill patternType="solid">
        <fgColor rgb="FFFFCC00"/>
        <bgColor rgb="FFFFFF00"/>
      </patternFill>
    </fill>
  </fills>
  <borders count="3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9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12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4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2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2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3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6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33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3" fillId="0" borderId="1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1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33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33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3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32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3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2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3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2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1.png"/><Relationship Id="rId4" Type="http://schemas.openxmlformats.org/officeDocument/2006/relationships/image" Target="../media/image2.jpeg"/><Relationship Id="rId5" Type="http://schemas.openxmlformats.org/officeDocument/2006/relationships/image" Target="../media/image1.png"/><Relationship Id="rId6" Type="http://schemas.openxmlformats.org/officeDocument/2006/relationships/image" Target="../media/image2.jpeg"/><Relationship Id="rId7" Type="http://schemas.openxmlformats.org/officeDocument/2006/relationships/image" Target="../media/image1.png"/><Relationship Id="rId8" Type="http://schemas.openxmlformats.org/officeDocument/2006/relationships/image" Target="../media/image2.jpeg"/><Relationship Id="rId9" Type="http://schemas.openxmlformats.org/officeDocument/2006/relationships/image" Target="../media/image1.png"/><Relationship Id="rId10" Type="http://schemas.openxmlformats.org/officeDocument/2006/relationships/image" Target="../media/image2.jpeg"/><Relationship Id="rId11" Type="http://schemas.openxmlformats.org/officeDocument/2006/relationships/image" Target="../media/image1.png"/><Relationship Id="rId12" Type="http://schemas.openxmlformats.org/officeDocument/2006/relationships/image" Target="../media/image2.jpeg"/><Relationship Id="rId13" Type="http://schemas.openxmlformats.org/officeDocument/2006/relationships/image" Target="../media/image1.png"/><Relationship Id="rId14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2.jpe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2.jpe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2.jpeg"/><Relationship Id="rId13" Type="http://schemas.openxmlformats.org/officeDocument/2006/relationships/image" Target="../media/image1.png"/><Relationship Id="rId14" Type="http://schemas.openxmlformats.org/officeDocument/2006/relationships/image" Target="../media/image1.png"/><Relationship Id="rId15" Type="http://schemas.openxmlformats.org/officeDocument/2006/relationships/image" Target="../media/image2.jpeg"/><Relationship Id="rId16" Type="http://schemas.openxmlformats.org/officeDocument/2006/relationships/image" Target="../media/image1.png"/><Relationship Id="rId17" Type="http://schemas.openxmlformats.org/officeDocument/2006/relationships/image" Target="../media/image1.png"/><Relationship Id="rId18" Type="http://schemas.openxmlformats.org/officeDocument/2006/relationships/image" Target="../media/image2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1.png"/><Relationship Id="rId4" Type="http://schemas.openxmlformats.org/officeDocument/2006/relationships/image" Target="../media/image2.jpeg"/><Relationship Id="rId5" Type="http://schemas.openxmlformats.org/officeDocument/2006/relationships/image" Target="../media/image1.png"/><Relationship Id="rId6" Type="http://schemas.openxmlformats.org/officeDocument/2006/relationships/image" Target="../media/image2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332640</xdr:colOff>
      <xdr:row>0</xdr:row>
      <xdr:rowOff>28080</xdr:rowOff>
    </xdr:from>
    <xdr:to>
      <xdr:col>1</xdr:col>
      <xdr:colOff>1010520</xdr:colOff>
      <xdr:row>0</xdr:row>
      <xdr:rowOff>712080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53400" y="28080"/>
          <a:ext cx="677880" cy="684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21</xdr:col>
      <xdr:colOff>703800</xdr:colOff>
      <xdr:row>0</xdr:row>
      <xdr:rowOff>28080</xdr:rowOff>
    </xdr:from>
    <xdr:to>
      <xdr:col>22</xdr:col>
      <xdr:colOff>653760</xdr:colOff>
      <xdr:row>0</xdr:row>
      <xdr:rowOff>705960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8435520" y="28080"/>
          <a:ext cx="744480" cy="677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154800</xdr:colOff>
      <xdr:row>0</xdr:row>
      <xdr:rowOff>56520</xdr:rowOff>
    </xdr:from>
    <xdr:to>
      <xdr:col>2</xdr:col>
      <xdr:colOff>61560</xdr:colOff>
      <xdr:row>1</xdr:row>
      <xdr:rowOff>46440</xdr:rowOff>
    </xdr:to>
    <xdr:pic>
      <xdr:nvPicPr>
        <xdr:cNvPr id="2" name="Imagen 5" descr=""/>
        <xdr:cNvPicPr/>
      </xdr:nvPicPr>
      <xdr:blipFill>
        <a:blip r:embed="rId1"/>
        <a:stretch/>
      </xdr:blipFill>
      <xdr:spPr>
        <a:xfrm>
          <a:off x="737640" y="56520"/>
          <a:ext cx="678960" cy="71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0</xdr:row>
      <xdr:rowOff>152640</xdr:rowOff>
    </xdr:from>
    <xdr:to>
      <xdr:col>11</xdr:col>
      <xdr:colOff>664560</xdr:colOff>
      <xdr:row>1</xdr:row>
      <xdr:rowOff>18360</xdr:rowOff>
    </xdr:to>
    <xdr:pic>
      <xdr:nvPicPr>
        <xdr:cNvPr id="3" name="Imagen 6" descr=""/>
        <xdr:cNvPicPr/>
      </xdr:nvPicPr>
      <xdr:blipFill>
        <a:blip r:embed="rId2"/>
        <a:stretch/>
      </xdr:blipFill>
      <xdr:spPr>
        <a:xfrm>
          <a:off x="7848720" y="152640"/>
          <a:ext cx="644040" cy="589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154800</xdr:colOff>
      <xdr:row>65</xdr:row>
      <xdr:rowOff>56880</xdr:rowOff>
    </xdr:from>
    <xdr:to>
      <xdr:col>2</xdr:col>
      <xdr:colOff>61560</xdr:colOff>
      <xdr:row>68</xdr:row>
      <xdr:rowOff>151560</xdr:rowOff>
    </xdr:to>
    <xdr:pic>
      <xdr:nvPicPr>
        <xdr:cNvPr id="4" name="Imagen 5" descr=""/>
        <xdr:cNvPicPr/>
      </xdr:nvPicPr>
      <xdr:blipFill>
        <a:blip r:embed="rId3"/>
        <a:stretch/>
      </xdr:blipFill>
      <xdr:spPr>
        <a:xfrm>
          <a:off x="737640" y="12982320"/>
          <a:ext cx="678960" cy="71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65</xdr:row>
      <xdr:rowOff>152640</xdr:rowOff>
    </xdr:from>
    <xdr:to>
      <xdr:col>11</xdr:col>
      <xdr:colOff>664560</xdr:colOff>
      <xdr:row>68</xdr:row>
      <xdr:rowOff>122400</xdr:rowOff>
    </xdr:to>
    <xdr:pic>
      <xdr:nvPicPr>
        <xdr:cNvPr id="5" name="Imagen 6" descr=""/>
        <xdr:cNvPicPr/>
      </xdr:nvPicPr>
      <xdr:blipFill>
        <a:blip r:embed="rId4"/>
        <a:stretch/>
      </xdr:blipFill>
      <xdr:spPr>
        <a:xfrm>
          <a:off x="7848720" y="13078080"/>
          <a:ext cx="644040" cy="58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154800</xdr:colOff>
      <xdr:row>131</xdr:row>
      <xdr:rowOff>56520</xdr:rowOff>
    </xdr:from>
    <xdr:to>
      <xdr:col>2</xdr:col>
      <xdr:colOff>61560</xdr:colOff>
      <xdr:row>134</xdr:row>
      <xdr:rowOff>151200</xdr:rowOff>
    </xdr:to>
    <xdr:pic>
      <xdr:nvPicPr>
        <xdr:cNvPr id="6" name="Imagen 5" descr=""/>
        <xdr:cNvPicPr/>
      </xdr:nvPicPr>
      <xdr:blipFill>
        <a:blip r:embed="rId5"/>
        <a:stretch/>
      </xdr:blipFill>
      <xdr:spPr>
        <a:xfrm>
          <a:off x="737640" y="25602480"/>
          <a:ext cx="678960" cy="71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131</xdr:row>
      <xdr:rowOff>152640</xdr:rowOff>
    </xdr:from>
    <xdr:to>
      <xdr:col>11</xdr:col>
      <xdr:colOff>664560</xdr:colOff>
      <xdr:row>134</xdr:row>
      <xdr:rowOff>122400</xdr:rowOff>
    </xdr:to>
    <xdr:pic>
      <xdr:nvPicPr>
        <xdr:cNvPr id="7" name="Imagen 6" descr=""/>
        <xdr:cNvPicPr/>
      </xdr:nvPicPr>
      <xdr:blipFill>
        <a:blip r:embed="rId6"/>
        <a:stretch/>
      </xdr:blipFill>
      <xdr:spPr>
        <a:xfrm>
          <a:off x="7848720" y="25698600"/>
          <a:ext cx="644040" cy="58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193</xdr:row>
      <xdr:rowOff>85320</xdr:rowOff>
    </xdr:from>
    <xdr:to>
      <xdr:col>2</xdr:col>
      <xdr:colOff>41400</xdr:colOff>
      <xdr:row>196</xdr:row>
      <xdr:rowOff>180720</xdr:rowOff>
    </xdr:to>
    <xdr:pic>
      <xdr:nvPicPr>
        <xdr:cNvPr id="8" name="Imagen 5" descr=""/>
        <xdr:cNvPicPr/>
      </xdr:nvPicPr>
      <xdr:blipFill>
        <a:blip r:embed="rId7"/>
        <a:stretch/>
      </xdr:blipFill>
      <xdr:spPr>
        <a:xfrm>
          <a:off x="717840" y="37509120"/>
          <a:ext cx="678600" cy="714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194</xdr:row>
      <xdr:rowOff>152640</xdr:rowOff>
    </xdr:from>
    <xdr:to>
      <xdr:col>11</xdr:col>
      <xdr:colOff>664560</xdr:colOff>
      <xdr:row>197</xdr:row>
      <xdr:rowOff>131760</xdr:rowOff>
    </xdr:to>
    <xdr:pic>
      <xdr:nvPicPr>
        <xdr:cNvPr id="9" name="Imagen 6" descr=""/>
        <xdr:cNvPicPr/>
      </xdr:nvPicPr>
      <xdr:blipFill>
        <a:blip r:embed="rId8"/>
        <a:stretch/>
      </xdr:blipFill>
      <xdr:spPr>
        <a:xfrm>
          <a:off x="7848720" y="37766880"/>
          <a:ext cx="644040" cy="598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239</xdr:row>
      <xdr:rowOff>85680</xdr:rowOff>
    </xdr:from>
    <xdr:to>
      <xdr:col>2</xdr:col>
      <xdr:colOff>41400</xdr:colOff>
      <xdr:row>242</xdr:row>
      <xdr:rowOff>180000</xdr:rowOff>
    </xdr:to>
    <xdr:pic>
      <xdr:nvPicPr>
        <xdr:cNvPr id="10" name="Imagen 5" descr=""/>
        <xdr:cNvPicPr/>
      </xdr:nvPicPr>
      <xdr:blipFill>
        <a:blip r:embed="rId9"/>
        <a:stretch/>
      </xdr:blipFill>
      <xdr:spPr>
        <a:xfrm>
          <a:off x="717840" y="46320120"/>
          <a:ext cx="678600" cy="71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240</xdr:row>
      <xdr:rowOff>152640</xdr:rowOff>
    </xdr:from>
    <xdr:to>
      <xdr:col>11</xdr:col>
      <xdr:colOff>664560</xdr:colOff>
      <xdr:row>243</xdr:row>
      <xdr:rowOff>131760</xdr:rowOff>
    </xdr:to>
    <xdr:pic>
      <xdr:nvPicPr>
        <xdr:cNvPr id="11" name="Imagen 6" descr=""/>
        <xdr:cNvPicPr/>
      </xdr:nvPicPr>
      <xdr:blipFill>
        <a:blip r:embed="rId10"/>
        <a:stretch/>
      </xdr:blipFill>
      <xdr:spPr>
        <a:xfrm>
          <a:off x="7848720" y="46577520"/>
          <a:ext cx="644040" cy="598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279</xdr:row>
      <xdr:rowOff>85680</xdr:rowOff>
    </xdr:from>
    <xdr:to>
      <xdr:col>2</xdr:col>
      <xdr:colOff>41400</xdr:colOff>
      <xdr:row>282</xdr:row>
      <xdr:rowOff>180000</xdr:rowOff>
    </xdr:to>
    <xdr:pic>
      <xdr:nvPicPr>
        <xdr:cNvPr id="12" name="Imagen 5" descr=""/>
        <xdr:cNvPicPr/>
      </xdr:nvPicPr>
      <xdr:blipFill>
        <a:blip r:embed="rId11"/>
        <a:stretch/>
      </xdr:blipFill>
      <xdr:spPr>
        <a:xfrm>
          <a:off x="717840" y="53987760"/>
          <a:ext cx="678600" cy="71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280</xdr:row>
      <xdr:rowOff>152640</xdr:rowOff>
    </xdr:from>
    <xdr:to>
      <xdr:col>11</xdr:col>
      <xdr:colOff>664560</xdr:colOff>
      <xdr:row>283</xdr:row>
      <xdr:rowOff>132840</xdr:rowOff>
    </xdr:to>
    <xdr:pic>
      <xdr:nvPicPr>
        <xdr:cNvPr id="13" name="Imagen 6" descr=""/>
        <xdr:cNvPicPr/>
      </xdr:nvPicPr>
      <xdr:blipFill>
        <a:blip r:embed="rId12"/>
        <a:stretch/>
      </xdr:blipFill>
      <xdr:spPr>
        <a:xfrm>
          <a:off x="7848720" y="54245160"/>
          <a:ext cx="644040" cy="59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326</xdr:row>
      <xdr:rowOff>85320</xdr:rowOff>
    </xdr:from>
    <xdr:to>
      <xdr:col>2</xdr:col>
      <xdr:colOff>41400</xdr:colOff>
      <xdr:row>329</xdr:row>
      <xdr:rowOff>180720</xdr:rowOff>
    </xdr:to>
    <xdr:pic>
      <xdr:nvPicPr>
        <xdr:cNvPr id="14" name="Imagen 5" descr=""/>
        <xdr:cNvPicPr/>
      </xdr:nvPicPr>
      <xdr:blipFill>
        <a:blip r:embed="rId13"/>
        <a:stretch/>
      </xdr:blipFill>
      <xdr:spPr>
        <a:xfrm>
          <a:off x="717840" y="62988480"/>
          <a:ext cx="678600" cy="714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327</xdr:row>
      <xdr:rowOff>152280</xdr:rowOff>
    </xdr:from>
    <xdr:to>
      <xdr:col>11</xdr:col>
      <xdr:colOff>664560</xdr:colOff>
      <xdr:row>330</xdr:row>
      <xdr:rowOff>132480</xdr:rowOff>
    </xdr:to>
    <xdr:pic>
      <xdr:nvPicPr>
        <xdr:cNvPr id="15" name="Imagen 6" descr=""/>
        <xdr:cNvPicPr/>
      </xdr:nvPicPr>
      <xdr:blipFill>
        <a:blip r:embed="rId14"/>
        <a:stretch/>
      </xdr:blipFill>
      <xdr:spPr>
        <a:xfrm>
          <a:off x="7848720" y="63245880"/>
          <a:ext cx="644040" cy="599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60120</xdr:colOff>
      <xdr:row>0</xdr:row>
      <xdr:rowOff>0</xdr:rowOff>
    </xdr:from>
    <xdr:to>
      <xdr:col>1</xdr:col>
      <xdr:colOff>664560</xdr:colOff>
      <xdr:row>3</xdr:row>
      <xdr:rowOff>46440</xdr:rowOff>
    </xdr:to>
    <xdr:pic>
      <xdr:nvPicPr>
        <xdr:cNvPr id="16" name="Imagen 2" descr=""/>
        <xdr:cNvPicPr/>
      </xdr:nvPicPr>
      <xdr:blipFill>
        <a:blip r:embed="rId1"/>
        <a:stretch/>
      </xdr:blipFill>
      <xdr:spPr>
        <a:xfrm>
          <a:off x="440640" y="0"/>
          <a:ext cx="60444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0</xdr:row>
      <xdr:rowOff>19440</xdr:rowOff>
    </xdr:from>
    <xdr:to>
      <xdr:col>1</xdr:col>
      <xdr:colOff>664560</xdr:colOff>
      <xdr:row>3</xdr:row>
      <xdr:rowOff>65160</xdr:rowOff>
    </xdr:to>
    <xdr:pic>
      <xdr:nvPicPr>
        <xdr:cNvPr id="17" name="Imagen 2" descr=""/>
        <xdr:cNvPicPr/>
      </xdr:nvPicPr>
      <xdr:blipFill>
        <a:blip r:embed="rId2"/>
        <a:stretch/>
      </xdr:blipFill>
      <xdr:spPr>
        <a:xfrm>
          <a:off x="440640" y="19440"/>
          <a:ext cx="604440" cy="61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0</xdr:row>
      <xdr:rowOff>85680</xdr:rowOff>
    </xdr:from>
    <xdr:to>
      <xdr:col>7</xdr:col>
      <xdr:colOff>643680</xdr:colOff>
      <xdr:row>3</xdr:row>
      <xdr:rowOff>103320</xdr:rowOff>
    </xdr:to>
    <xdr:pic>
      <xdr:nvPicPr>
        <xdr:cNvPr id="18" name="Imagen 3" descr=""/>
        <xdr:cNvPicPr/>
      </xdr:nvPicPr>
      <xdr:blipFill>
        <a:blip r:embed="rId3"/>
        <a:stretch/>
      </xdr:blipFill>
      <xdr:spPr>
        <a:xfrm>
          <a:off x="4850280" y="85680"/>
          <a:ext cx="643680" cy="589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45</xdr:row>
      <xdr:rowOff>124200</xdr:rowOff>
    </xdr:from>
    <xdr:to>
      <xdr:col>1</xdr:col>
      <xdr:colOff>664560</xdr:colOff>
      <xdr:row>48</xdr:row>
      <xdr:rowOff>171000</xdr:rowOff>
    </xdr:to>
    <xdr:pic>
      <xdr:nvPicPr>
        <xdr:cNvPr id="19" name="Imagen 2" descr=""/>
        <xdr:cNvPicPr/>
      </xdr:nvPicPr>
      <xdr:blipFill>
        <a:blip r:embed="rId4"/>
        <a:stretch/>
      </xdr:blipFill>
      <xdr:spPr>
        <a:xfrm>
          <a:off x="440640" y="8962920"/>
          <a:ext cx="60444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45</xdr:row>
      <xdr:rowOff>143640</xdr:rowOff>
    </xdr:from>
    <xdr:to>
      <xdr:col>1</xdr:col>
      <xdr:colOff>664560</xdr:colOff>
      <xdr:row>48</xdr:row>
      <xdr:rowOff>189720</xdr:rowOff>
    </xdr:to>
    <xdr:pic>
      <xdr:nvPicPr>
        <xdr:cNvPr id="20" name="Imagen 2" descr=""/>
        <xdr:cNvPicPr/>
      </xdr:nvPicPr>
      <xdr:blipFill>
        <a:blip r:embed="rId5"/>
        <a:stretch/>
      </xdr:blipFill>
      <xdr:spPr>
        <a:xfrm>
          <a:off x="440640" y="8982360"/>
          <a:ext cx="604440" cy="61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46</xdr:row>
      <xdr:rowOff>19440</xdr:rowOff>
    </xdr:from>
    <xdr:to>
      <xdr:col>7</xdr:col>
      <xdr:colOff>643680</xdr:colOff>
      <xdr:row>49</xdr:row>
      <xdr:rowOff>37800</xdr:rowOff>
    </xdr:to>
    <xdr:pic>
      <xdr:nvPicPr>
        <xdr:cNvPr id="21" name="Imagen 3" descr=""/>
        <xdr:cNvPicPr/>
      </xdr:nvPicPr>
      <xdr:blipFill>
        <a:blip r:embed="rId6"/>
        <a:stretch/>
      </xdr:blipFill>
      <xdr:spPr>
        <a:xfrm>
          <a:off x="4850280" y="9048600"/>
          <a:ext cx="643680" cy="589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91</xdr:row>
      <xdr:rowOff>58680</xdr:rowOff>
    </xdr:from>
    <xdr:to>
      <xdr:col>1</xdr:col>
      <xdr:colOff>664560</xdr:colOff>
      <xdr:row>94</xdr:row>
      <xdr:rowOff>45360</xdr:rowOff>
    </xdr:to>
    <xdr:pic>
      <xdr:nvPicPr>
        <xdr:cNvPr id="22" name="Imagen 2" descr=""/>
        <xdr:cNvPicPr/>
      </xdr:nvPicPr>
      <xdr:blipFill>
        <a:blip r:embed="rId7"/>
        <a:stretch/>
      </xdr:blipFill>
      <xdr:spPr>
        <a:xfrm>
          <a:off x="440640" y="17926200"/>
          <a:ext cx="60444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91</xdr:row>
      <xdr:rowOff>77760</xdr:rowOff>
    </xdr:from>
    <xdr:to>
      <xdr:col>1</xdr:col>
      <xdr:colOff>664560</xdr:colOff>
      <xdr:row>94</xdr:row>
      <xdr:rowOff>64080</xdr:rowOff>
    </xdr:to>
    <xdr:pic>
      <xdr:nvPicPr>
        <xdr:cNvPr id="23" name="Imagen 2" descr=""/>
        <xdr:cNvPicPr/>
      </xdr:nvPicPr>
      <xdr:blipFill>
        <a:blip r:embed="rId8"/>
        <a:stretch/>
      </xdr:blipFill>
      <xdr:spPr>
        <a:xfrm>
          <a:off x="440640" y="17945280"/>
          <a:ext cx="604440" cy="61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91</xdr:row>
      <xdr:rowOff>144000</xdr:rowOff>
    </xdr:from>
    <xdr:to>
      <xdr:col>7</xdr:col>
      <xdr:colOff>643680</xdr:colOff>
      <xdr:row>94</xdr:row>
      <xdr:rowOff>102240</xdr:rowOff>
    </xdr:to>
    <xdr:pic>
      <xdr:nvPicPr>
        <xdr:cNvPr id="24" name="Imagen 3" descr=""/>
        <xdr:cNvPicPr/>
      </xdr:nvPicPr>
      <xdr:blipFill>
        <a:blip r:embed="rId9"/>
        <a:stretch/>
      </xdr:blipFill>
      <xdr:spPr>
        <a:xfrm>
          <a:off x="4850280" y="18011520"/>
          <a:ext cx="643680" cy="589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136</xdr:row>
      <xdr:rowOff>182880</xdr:rowOff>
    </xdr:from>
    <xdr:to>
      <xdr:col>1</xdr:col>
      <xdr:colOff>664560</xdr:colOff>
      <xdr:row>139</xdr:row>
      <xdr:rowOff>169920</xdr:rowOff>
    </xdr:to>
    <xdr:pic>
      <xdr:nvPicPr>
        <xdr:cNvPr id="25" name="Imagen 2" descr=""/>
        <xdr:cNvPicPr/>
      </xdr:nvPicPr>
      <xdr:blipFill>
        <a:blip r:embed="rId10"/>
        <a:stretch/>
      </xdr:blipFill>
      <xdr:spPr>
        <a:xfrm>
          <a:off x="440640" y="26889120"/>
          <a:ext cx="60444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137</xdr:row>
      <xdr:rowOff>11880</xdr:rowOff>
    </xdr:from>
    <xdr:to>
      <xdr:col>1</xdr:col>
      <xdr:colOff>664560</xdr:colOff>
      <xdr:row>139</xdr:row>
      <xdr:rowOff>188640</xdr:rowOff>
    </xdr:to>
    <xdr:pic>
      <xdr:nvPicPr>
        <xdr:cNvPr id="26" name="Imagen 2" descr=""/>
        <xdr:cNvPicPr/>
      </xdr:nvPicPr>
      <xdr:blipFill>
        <a:blip r:embed="rId11"/>
        <a:stretch/>
      </xdr:blipFill>
      <xdr:spPr>
        <a:xfrm>
          <a:off x="440640" y="26908560"/>
          <a:ext cx="604440" cy="61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137</xdr:row>
      <xdr:rowOff>78120</xdr:rowOff>
    </xdr:from>
    <xdr:to>
      <xdr:col>7</xdr:col>
      <xdr:colOff>643680</xdr:colOff>
      <xdr:row>140</xdr:row>
      <xdr:rowOff>36360</xdr:rowOff>
    </xdr:to>
    <xdr:pic>
      <xdr:nvPicPr>
        <xdr:cNvPr id="27" name="Imagen 3" descr=""/>
        <xdr:cNvPicPr/>
      </xdr:nvPicPr>
      <xdr:blipFill>
        <a:blip r:embed="rId12"/>
        <a:stretch/>
      </xdr:blipFill>
      <xdr:spPr>
        <a:xfrm>
          <a:off x="4850280" y="26974800"/>
          <a:ext cx="643680" cy="589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182</xdr:row>
      <xdr:rowOff>57240</xdr:rowOff>
    </xdr:from>
    <xdr:to>
      <xdr:col>1</xdr:col>
      <xdr:colOff>664560</xdr:colOff>
      <xdr:row>185</xdr:row>
      <xdr:rowOff>103680</xdr:rowOff>
    </xdr:to>
    <xdr:pic>
      <xdr:nvPicPr>
        <xdr:cNvPr id="28" name="Imagen 2" descr=""/>
        <xdr:cNvPicPr/>
      </xdr:nvPicPr>
      <xdr:blipFill>
        <a:blip r:embed="rId13"/>
        <a:stretch/>
      </xdr:blipFill>
      <xdr:spPr>
        <a:xfrm>
          <a:off x="440640" y="35852040"/>
          <a:ext cx="60444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182</xdr:row>
      <xdr:rowOff>76680</xdr:rowOff>
    </xdr:from>
    <xdr:to>
      <xdr:col>1</xdr:col>
      <xdr:colOff>664560</xdr:colOff>
      <xdr:row>185</xdr:row>
      <xdr:rowOff>122400</xdr:rowOff>
    </xdr:to>
    <xdr:pic>
      <xdr:nvPicPr>
        <xdr:cNvPr id="29" name="Imagen 2" descr=""/>
        <xdr:cNvPicPr/>
      </xdr:nvPicPr>
      <xdr:blipFill>
        <a:blip r:embed="rId14"/>
        <a:stretch/>
      </xdr:blipFill>
      <xdr:spPr>
        <a:xfrm>
          <a:off x="440640" y="35871480"/>
          <a:ext cx="604440" cy="61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182</xdr:row>
      <xdr:rowOff>142920</xdr:rowOff>
    </xdr:from>
    <xdr:to>
      <xdr:col>7</xdr:col>
      <xdr:colOff>643680</xdr:colOff>
      <xdr:row>185</xdr:row>
      <xdr:rowOff>160920</xdr:rowOff>
    </xdr:to>
    <xdr:pic>
      <xdr:nvPicPr>
        <xdr:cNvPr id="30" name="Imagen 3" descr=""/>
        <xdr:cNvPicPr/>
      </xdr:nvPicPr>
      <xdr:blipFill>
        <a:blip r:embed="rId15"/>
        <a:stretch/>
      </xdr:blipFill>
      <xdr:spPr>
        <a:xfrm>
          <a:off x="4850280" y="35937720"/>
          <a:ext cx="643680" cy="589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221</xdr:row>
      <xdr:rowOff>181440</xdr:rowOff>
    </xdr:from>
    <xdr:to>
      <xdr:col>1</xdr:col>
      <xdr:colOff>664560</xdr:colOff>
      <xdr:row>224</xdr:row>
      <xdr:rowOff>169560</xdr:rowOff>
    </xdr:to>
    <xdr:pic>
      <xdr:nvPicPr>
        <xdr:cNvPr id="31" name="Imagen 2" descr=""/>
        <xdr:cNvPicPr/>
      </xdr:nvPicPr>
      <xdr:blipFill>
        <a:blip r:embed="rId16"/>
        <a:stretch/>
      </xdr:blipFill>
      <xdr:spPr>
        <a:xfrm>
          <a:off x="440640" y="43671960"/>
          <a:ext cx="604440" cy="619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222</xdr:row>
      <xdr:rowOff>10440</xdr:rowOff>
    </xdr:from>
    <xdr:to>
      <xdr:col>1</xdr:col>
      <xdr:colOff>664560</xdr:colOff>
      <xdr:row>224</xdr:row>
      <xdr:rowOff>187560</xdr:rowOff>
    </xdr:to>
    <xdr:pic>
      <xdr:nvPicPr>
        <xdr:cNvPr id="32" name="Imagen 2" descr=""/>
        <xdr:cNvPicPr/>
      </xdr:nvPicPr>
      <xdr:blipFill>
        <a:blip r:embed="rId17"/>
        <a:stretch/>
      </xdr:blipFill>
      <xdr:spPr>
        <a:xfrm>
          <a:off x="440640" y="43691400"/>
          <a:ext cx="604440" cy="61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222</xdr:row>
      <xdr:rowOff>76680</xdr:rowOff>
    </xdr:from>
    <xdr:to>
      <xdr:col>7</xdr:col>
      <xdr:colOff>643680</xdr:colOff>
      <xdr:row>225</xdr:row>
      <xdr:rowOff>35280</xdr:rowOff>
    </xdr:to>
    <xdr:pic>
      <xdr:nvPicPr>
        <xdr:cNvPr id="33" name="Imagen 3" descr=""/>
        <xdr:cNvPicPr/>
      </xdr:nvPicPr>
      <xdr:blipFill>
        <a:blip r:embed="rId18"/>
        <a:stretch/>
      </xdr:blipFill>
      <xdr:spPr>
        <a:xfrm>
          <a:off x="4850280" y="43757640"/>
          <a:ext cx="643680" cy="58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241920</xdr:colOff>
      <xdr:row>0</xdr:row>
      <xdr:rowOff>95400</xdr:rowOff>
    </xdr:from>
    <xdr:to>
      <xdr:col>1</xdr:col>
      <xdr:colOff>716400</xdr:colOff>
      <xdr:row>2</xdr:row>
      <xdr:rowOff>189360</xdr:rowOff>
    </xdr:to>
    <xdr:pic>
      <xdr:nvPicPr>
        <xdr:cNvPr id="34" name="Imagen 1" descr=""/>
        <xdr:cNvPicPr/>
      </xdr:nvPicPr>
      <xdr:blipFill>
        <a:blip r:embed="rId1"/>
        <a:stretch/>
      </xdr:blipFill>
      <xdr:spPr>
        <a:xfrm>
          <a:off x="472320" y="95400"/>
          <a:ext cx="474480" cy="474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120240</xdr:colOff>
      <xdr:row>0</xdr:row>
      <xdr:rowOff>95400</xdr:rowOff>
    </xdr:from>
    <xdr:to>
      <xdr:col>10</xdr:col>
      <xdr:colOff>613080</xdr:colOff>
      <xdr:row>2</xdr:row>
      <xdr:rowOff>170280</xdr:rowOff>
    </xdr:to>
    <xdr:pic>
      <xdr:nvPicPr>
        <xdr:cNvPr id="35" name="Imagen 2" descr=""/>
        <xdr:cNvPicPr/>
      </xdr:nvPicPr>
      <xdr:blipFill>
        <a:blip r:embed="rId2"/>
        <a:stretch/>
      </xdr:blipFill>
      <xdr:spPr>
        <a:xfrm>
          <a:off x="5391360" y="95400"/>
          <a:ext cx="492840" cy="455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462960</xdr:colOff>
      <xdr:row>134</xdr:row>
      <xdr:rowOff>9360</xdr:rowOff>
    </xdr:from>
    <xdr:to>
      <xdr:col>1</xdr:col>
      <xdr:colOff>937080</xdr:colOff>
      <xdr:row>136</xdr:row>
      <xdr:rowOff>103680</xdr:rowOff>
    </xdr:to>
    <xdr:pic>
      <xdr:nvPicPr>
        <xdr:cNvPr id="36" name="Imagen 3" descr=""/>
        <xdr:cNvPicPr/>
      </xdr:nvPicPr>
      <xdr:blipFill>
        <a:blip r:embed="rId3"/>
        <a:stretch/>
      </xdr:blipFill>
      <xdr:spPr>
        <a:xfrm>
          <a:off x="693360" y="19692000"/>
          <a:ext cx="474120" cy="475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134</xdr:row>
      <xdr:rowOff>9360</xdr:rowOff>
    </xdr:from>
    <xdr:to>
      <xdr:col>10</xdr:col>
      <xdr:colOff>492480</xdr:colOff>
      <xdr:row>136</xdr:row>
      <xdr:rowOff>84240</xdr:rowOff>
    </xdr:to>
    <xdr:pic>
      <xdr:nvPicPr>
        <xdr:cNvPr id="37" name="Imagen 4" descr=""/>
        <xdr:cNvPicPr/>
      </xdr:nvPicPr>
      <xdr:blipFill>
        <a:blip r:embed="rId4"/>
        <a:stretch/>
      </xdr:blipFill>
      <xdr:spPr>
        <a:xfrm>
          <a:off x="5271120" y="19692000"/>
          <a:ext cx="492480" cy="455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271440</xdr:colOff>
      <xdr:row>265</xdr:row>
      <xdr:rowOff>57240</xdr:rowOff>
    </xdr:from>
    <xdr:to>
      <xdr:col>1</xdr:col>
      <xdr:colOff>745560</xdr:colOff>
      <xdr:row>267</xdr:row>
      <xdr:rowOff>150480</xdr:rowOff>
    </xdr:to>
    <xdr:pic>
      <xdr:nvPicPr>
        <xdr:cNvPr id="38" name="Imagen 5" descr=""/>
        <xdr:cNvPicPr/>
      </xdr:nvPicPr>
      <xdr:blipFill>
        <a:blip r:embed="rId5"/>
        <a:stretch/>
      </xdr:blipFill>
      <xdr:spPr>
        <a:xfrm>
          <a:off x="501840" y="38702160"/>
          <a:ext cx="474120" cy="474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623160</xdr:colOff>
      <xdr:row>265</xdr:row>
      <xdr:rowOff>-360</xdr:rowOff>
    </xdr:from>
    <xdr:to>
      <xdr:col>10</xdr:col>
      <xdr:colOff>442440</xdr:colOff>
      <xdr:row>267</xdr:row>
      <xdr:rowOff>76320</xdr:rowOff>
    </xdr:to>
    <xdr:pic>
      <xdr:nvPicPr>
        <xdr:cNvPr id="39" name="Imagen 6" descr=""/>
        <xdr:cNvPicPr/>
      </xdr:nvPicPr>
      <xdr:blipFill>
        <a:blip r:embed="rId6"/>
        <a:stretch/>
      </xdr:blipFill>
      <xdr:spPr>
        <a:xfrm>
          <a:off x="5221080" y="38644560"/>
          <a:ext cx="492480" cy="457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281880</xdr:colOff>
      <xdr:row>0</xdr:row>
      <xdr:rowOff>57600</xdr:rowOff>
    </xdr:from>
    <xdr:to>
      <xdr:col>2</xdr:col>
      <xdr:colOff>252000</xdr:colOff>
      <xdr:row>1</xdr:row>
      <xdr:rowOff>180720</xdr:rowOff>
    </xdr:to>
    <xdr:pic>
      <xdr:nvPicPr>
        <xdr:cNvPr id="40" name="Imagen 1" descr=""/>
        <xdr:cNvPicPr/>
      </xdr:nvPicPr>
      <xdr:blipFill>
        <a:blip r:embed="rId1"/>
        <a:stretch/>
      </xdr:blipFill>
      <xdr:spPr>
        <a:xfrm>
          <a:off x="572760" y="57600"/>
          <a:ext cx="582840" cy="59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171000</xdr:colOff>
      <xdr:row>0</xdr:row>
      <xdr:rowOff>85680</xdr:rowOff>
    </xdr:from>
    <xdr:to>
      <xdr:col>6</xdr:col>
      <xdr:colOff>755280</xdr:colOff>
      <xdr:row>1</xdr:row>
      <xdr:rowOff>150840</xdr:rowOff>
    </xdr:to>
    <xdr:pic>
      <xdr:nvPicPr>
        <xdr:cNvPr id="41" name="Imagen 2" descr=""/>
        <xdr:cNvPicPr/>
      </xdr:nvPicPr>
      <xdr:blipFill>
        <a:blip r:embed="rId2"/>
        <a:stretch/>
      </xdr:blipFill>
      <xdr:spPr>
        <a:xfrm>
          <a:off x="5902560" y="85680"/>
          <a:ext cx="584280" cy="541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95703125" defaultRowHeight="15" zeroHeight="false" outlineLevelRow="0" outlineLevelCol="0"/>
  <cols>
    <col collapsed="false" customWidth="true" hidden="false" outlineLevel="0" max="1" min="1" style="1" width="4.55"/>
    <col collapsed="false" customWidth="true" hidden="false" outlineLevel="0" max="2" min="2" style="1" width="30.98"/>
    <col collapsed="false" customWidth="true" hidden="false" outlineLevel="0" max="3" min="3" style="1" width="5.84"/>
    <col collapsed="false" customWidth="true" hidden="true" outlineLevel="0" max="4" min="4" style="2" width="5.69"/>
    <col collapsed="false" customWidth="true" hidden="true" outlineLevel="0" max="9" min="5" style="3" width="5.69"/>
    <col collapsed="false" customWidth="true" hidden="false" outlineLevel="0" max="17" min="10" style="3" width="5.69"/>
    <col collapsed="false" customWidth="true" hidden="false" outlineLevel="0" max="21" min="18" style="1" width="5.69"/>
    <col collapsed="false" customWidth="true" hidden="false" outlineLevel="0" max="22" min="22" style="1" width="11.27"/>
    <col collapsed="false" customWidth="true" hidden="false" outlineLevel="0" max="23" min="23" style="1" width="9.98"/>
    <col collapsed="false" customWidth="true" hidden="false" outlineLevel="0" max="26" min="24" style="1" width="5.69"/>
    <col collapsed="false" customWidth="true" hidden="false" outlineLevel="0" max="28" min="27" style="1" width="5.84"/>
    <col collapsed="false" customWidth="true" hidden="false" outlineLevel="0" max="29" min="29" style="1" width="7.84"/>
  </cols>
  <sheetData>
    <row r="1" customFormat="false" ht="63" hidden="false" customHeight="true" outlineLevel="0" collapsed="false">
      <c r="E1" s="4" t="s">
        <v>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5" hidden="false" customHeight="false" outlineLevel="0" collapsed="false"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customFormat="false" ht="15" hidden="false" customHeight="false" outlineLevel="0" collapsed="false">
      <c r="A3" s="6"/>
      <c r="B3" s="6"/>
      <c r="C3" s="7" t="s">
        <v>2</v>
      </c>
      <c r="D3" s="8" t="s">
        <v>3</v>
      </c>
      <c r="E3" s="9" t="s">
        <v>4</v>
      </c>
      <c r="F3" s="9" t="s">
        <v>5</v>
      </c>
      <c r="G3" s="9" t="s">
        <v>6</v>
      </c>
      <c r="H3" s="9" t="s">
        <v>6</v>
      </c>
      <c r="I3" s="9" t="s">
        <v>7</v>
      </c>
      <c r="J3" s="9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3</v>
      </c>
      <c r="R3" s="9" t="s">
        <v>4</v>
      </c>
      <c r="S3" s="9" t="s">
        <v>5</v>
      </c>
      <c r="T3" s="9" t="s">
        <v>6</v>
      </c>
      <c r="U3" s="9" t="s">
        <v>7</v>
      </c>
      <c r="V3" s="10" t="s">
        <v>15</v>
      </c>
      <c r="W3" s="11" t="s">
        <v>16</v>
      </c>
    </row>
    <row r="4" customFormat="false" ht="15" hidden="false" customHeight="false" outlineLevel="0" collapsed="false">
      <c r="A4" s="6" t="n">
        <v>1</v>
      </c>
      <c r="B4" s="12" t="s">
        <v>17</v>
      </c>
      <c r="C4" s="13"/>
      <c r="D4" s="13"/>
      <c r="E4" s="13"/>
      <c r="F4" s="13"/>
      <c r="G4" s="13"/>
      <c r="H4" s="13"/>
      <c r="I4" s="13"/>
      <c r="J4" s="14" t="n">
        <v>1</v>
      </c>
      <c r="K4" s="14" t="n">
        <v>15</v>
      </c>
      <c r="L4" s="14" t="n">
        <v>24</v>
      </c>
      <c r="M4" s="15" t="s">
        <v>18</v>
      </c>
      <c r="N4" s="14" t="n">
        <v>59</v>
      </c>
      <c r="O4" s="14" t="n">
        <v>59</v>
      </c>
      <c r="P4" s="14" t="n">
        <v>73</v>
      </c>
      <c r="Q4" s="14" t="n">
        <v>73</v>
      </c>
      <c r="R4" s="16"/>
      <c r="S4" s="16"/>
      <c r="T4" s="16"/>
      <c r="U4" s="16"/>
      <c r="V4" s="17"/>
      <c r="W4" s="18"/>
      <c r="Z4" s="19" t="n">
        <v>1</v>
      </c>
      <c r="AA4" s="19" t="n">
        <v>21</v>
      </c>
      <c r="AB4" s="19" t="n">
        <v>41</v>
      </c>
      <c r="AC4" s="20" t="n">
        <v>61</v>
      </c>
    </row>
    <row r="5" customFormat="false" ht="15" hidden="false" customHeight="false" outlineLevel="0" collapsed="false">
      <c r="A5" s="6" t="n">
        <v>2</v>
      </c>
      <c r="B5" s="12" t="s">
        <v>19</v>
      </c>
      <c r="C5" s="13"/>
      <c r="D5" s="13"/>
      <c r="E5" s="13"/>
      <c r="F5" s="13"/>
      <c r="G5" s="13"/>
      <c r="H5" s="13"/>
      <c r="I5" s="13"/>
      <c r="J5" s="14" t="n">
        <v>9</v>
      </c>
      <c r="K5" s="14" t="n">
        <v>10</v>
      </c>
      <c r="L5" s="14" t="n">
        <v>23</v>
      </c>
      <c r="M5" s="14" t="n">
        <v>50</v>
      </c>
      <c r="N5" s="14" t="n">
        <v>58</v>
      </c>
      <c r="O5" s="14" t="n">
        <v>65</v>
      </c>
      <c r="P5" s="14" t="n">
        <v>71</v>
      </c>
      <c r="Q5" s="14"/>
      <c r="R5" s="16"/>
      <c r="S5" s="16"/>
      <c r="T5" s="16"/>
      <c r="U5" s="16"/>
      <c r="V5" s="17"/>
      <c r="W5" s="18"/>
      <c r="Z5" s="19" t="n">
        <v>2</v>
      </c>
      <c r="AA5" s="19" t="n">
        <v>22</v>
      </c>
      <c r="AB5" s="19" t="n">
        <v>42</v>
      </c>
      <c r="AC5" s="20" t="n">
        <v>62</v>
      </c>
    </row>
    <row r="6" customFormat="false" ht="15" hidden="false" customHeight="false" outlineLevel="0" collapsed="false">
      <c r="A6" s="6" t="n">
        <v>3</v>
      </c>
      <c r="B6" s="12" t="s">
        <v>20</v>
      </c>
      <c r="C6" s="13"/>
      <c r="D6" s="13"/>
      <c r="E6" s="13"/>
      <c r="F6" s="13"/>
      <c r="G6" s="13"/>
      <c r="H6" s="13"/>
      <c r="I6" s="13"/>
      <c r="J6" s="14" t="n">
        <v>11</v>
      </c>
      <c r="K6" s="14" t="n">
        <v>11</v>
      </c>
      <c r="L6" s="14" t="n">
        <v>39</v>
      </c>
      <c r="M6" s="14" t="n">
        <v>39</v>
      </c>
      <c r="N6" s="14" t="n">
        <v>54</v>
      </c>
      <c r="O6" s="14" t="n">
        <v>54</v>
      </c>
      <c r="P6" s="9"/>
      <c r="Q6" s="9"/>
      <c r="R6" s="16"/>
      <c r="S6" s="16"/>
      <c r="T6" s="16"/>
      <c r="U6" s="16"/>
      <c r="V6" s="21"/>
      <c r="W6" s="22" t="s">
        <v>21</v>
      </c>
      <c r="Z6" s="19" t="n">
        <v>3</v>
      </c>
      <c r="AA6" s="19" t="n">
        <v>23</v>
      </c>
      <c r="AB6" s="19" t="n">
        <v>43</v>
      </c>
      <c r="AC6" s="20" t="n">
        <v>63</v>
      </c>
    </row>
    <row r="7" customFormat="false" ht="15" hidden="false" customHeight="false" outlineLevel="0" collapsed="false">
      <c r="A7" s="6" t="n">
        <v>4</v>
      </c>
      <c r="B7" s="12" t="s">
        <v>22</v>
      </c>
      <c r="C7" s="13" t="s">
        <v>21</v>
      </c>
      <c r="D7" s="13"/>
      <c r="E7" s="13"/>
      <c r="F7" s="13"/>
      <c r="G7" s="13"/>
      <c r="H7" s="13"/>
      <c r="I7" s="13"/>
      <c r="J7" s="14" t="n">
        <v>7</v>
      </c>
      <c r="K7" s="14" t="n">
        <v>34</v>
      </c>
      <c r="L7" s="14" t="n">
        <v>40</v>
      </c>
      <c r="M7" s="14" t="n">
        <v>49</v>
      </c>
      <c r="N7" s="9" t="s">
        <v>23</v>
      </c>
      <c r="O7" s="9" t="s">
        <v>24</v>
      </c>
      <c r="P7" s="9"/>
      <c r="Q7" s="9"/>
      <c r="R7" s="16"/>
      <c r="S7" s="16"/>
      <c r="T7" s="16"/>
      <c r="U7" s="16"/>
      <c r="V7" s="23"/>
      <c r="W7" s="18"/>
      <c r="Z7" s="19" t="n">
        <v>4</v>
      </c>
      <c r="AA7" s="19" t="n">
        <v>24</v>
      </c>
      <c r="AB7" s="19" t="n">
        <v>44</v>
      </c>
      <c r="AC7" s="20" t="n">
        <v>64</v>
      </c>
    </row>
    <row r="8" customFormat="false" ht="15" hidden="false" customHeight="false" outlineLevel="0" collapsed="false">
      <c r="A8" s="6" t="n">
        <v>5</v>
      </c>
      <c r="B8" s="12" t="s">
        <v>25</v>
      </c>
      <c r="C8" s="13"/>
      <c r="D8" s="13"/>
      <c r="E8" s="13"/>
      <c r="F8" s="13"/>
      <c r="G8" s="13"/>
      <c r="H8" s="13"/>
      <c r="I8" s="13"/>
      <c r="J8" s="14" t="n">
        <v>21</v>
      </c>
      <c r="K8" s="14" t="n">
        <v>21</v>
      </c>
      <c r="L8" s="14" t="n">
        <v>21</v>
      </c>
      <c r="M8" s="14" t="n">
        <v>48</v>
      </c>
      <c r="N8" s="14" t="n">
        <v>48</v>
      </c>
      <c r="O8" s="14" t="n">
        <v>48</v>
      </c>
      <c r="P8" s="9"/>
      <c r="Q8" s="9"/>
      <c r="R8" s="16"/>
      <c r="S8" s="16"/>
      <c r="T8" s="16"/>
      <c r="U8" s="16"/>
      <c r="V8" s="17"/>
      <c r="W8" s="18"/>
      <c r="Z8" s="19" t="n">
        <v>5</v>
      </c>
      <c r="AA8" s="19" t="n">
        <v>25</v>
      </c>
      <c r="AB8" s="19" t="n">
        <v>45</v>
      </c>
      <c r="AC8" s="20" t="n">
        <v>65</v>
      </c>
    </row>
    <row r="9" customFormat="false" ht="15" hidden="false" customHeight="false" outlineLevel="0" collapsed="false">
      <c r="A9" s="6" t="n">
        <v>6</v>
      </c>
      <c r="B9" s="12" t="s">
        <v>26</v>
      </c>
      <c r="C9" s="24" t="n">
        <v>128</v>
      </c>
      <c r="D9" s="13"/>
      <c r="E9" s="13"/>
      <c r="F9" s="13"/>
      <c r="G9" s="13"/>
      <c r="H9" s="13"/>
      <c r="I9" s="13"/>
      <c r="J9" s="14" t="n">
        <v>14</v>
      </c>
      <c r="K9" s="14" t="n">
        <v>14</v>
      </c>
      <c r="L9" s="14" t="n">
        <v>14</v>
      </c>
      <c r="M9" s="14" t="n">
        <v>14</v>
      </c>
      <c r="N9" s="14" t="n">
        <v>14</v>
      </c>
      <c r="O9" s="14" t="n">
        <v>66</v>
      </c>
      <c r="P9" s="14" t="n">
        <v>67</v>
      </c>
      <c r="Q9" s="14" t="n">
        <v>67</v>
      </c>
      <c r="R9" s="14" t="n">
        <v>67</v>
      </c>
      <c r="S9" s="14" t="n">
        <v>67</v>
      </c>
      <c r="T9" s="14" t="n">
        <v>67</v>
      </c>
      <c r="U9" s="16"/>
      <c r="V9" s="25"/>
      <c r="W9" s="22" t="s">
        <v>21</v>
      </c>
      <c r="Z9" s="19" t="n">
        <v>6</v>
      </c>
      <c r="AA9" s="19" t="n">
        <v>26</v>
      </c>
      <c r="AB9" s="19" t="n">
        <v>46</v>
      </c>
      <c r="AC9" s="26" t="n">
        <v>66</v>
      </c>
    </row>
    <row r="10" customFormat="false" ht="15" hidden="false" customHeight="false" outlineLevel="0" collapsed="false">
      <c r="A10" s="27" t="n">
        <v>7</v>
      </c>
      <c r="B10" s="12" t="s">
        <v>27</v>
      </c>
      <c r="C10" s="13"/>
      <c r="D10" s="13"/>
      <c r="E10" s="13"/>
      <c r="F10" s="13"/>
      <c r="G10" s="13"/>
      <c r="H10" s="13"/>
      <c r="I10" s="13"/>
      <c r="J10" s="14" t="n">
        <v>8</v>
      </c>
      <c r="K10" s="14" t="n">
        <v>8</v>
      </c>
      <c r="L10" s="14" t="n">
        <v>37</v>
      </c>
      <c r="M10" s="14" t="n">
        <v>37</v>
      </c>
      <c r="N10" s="14" t="n">
        <v>52</v>
      </c>
      <c r="O10" s="14" t="n">
        <v>52</v>
      </c>
      <c r="P10" s="14" t="n">
        <v>72</v>
      </c>
      <c r="Q10" s="14" t="n">
        <v>72</v>
      </c>
      <c r="R10" s="16"/>
      <c r="S10" s="16"/>
      <c r="T10" s="16"/>
      <c r="U10" s="16"/>
      <c r="V10" s="21"/>
      <c r="W10" s="22" t="s">
        <v>21</v>
      </c>
      <c r="Z10" s="19" t="n">
        <v>7</v>
      </c>
      <c r="AA10" s="19" t="n">
        <v>27</v>
      </c>
      <c r="AB10" s="19" t="n">
        <v>47</v>
      </c>
      <c r="AC10" s="26" t="n">
        <v>67</v>
      </c>
    </row>
    <row r="11" customFormat="false" ht="15" hidden="false" customHeight="false" outlineLevel="0" collapsed="false">
      <c r="A11" s="27" t="n">
        <v>8</v>
      </c>
      <c r="B11" s="12" t="s">
        <v>28</v>
      </c>
      <c r="C11" s="14" t="n">
        <v>43</v>
      </c>
      <c r="D11" s="28"/>
      <c r="E11" s="28"/>
      <c r="F11" s="28"/>
      <c r="G11" s="28"/>
      <c r="H11" s="28"/>
      <c r="I11" s="28"/>
      <c r="J11" s="14" t="n">
        <v>43</v>
      </c>
      <c r="K11" s="14" t="n">
        <v>43</v>
      </c>
      <c r="L11" s="14" t="n">
        <v>43</v>
      </c>
      <c r="M11" s="14" t="n">
        <v>43</v>
      </c>
      <c r="N11" s="14" t="n">
        <v>43</v>
      </c>
      <c r="O11" s="9" t="s">
        <v>24</v>
      </c>
      <c r="P11" s="9"/>
      <c r="Q11" s="9"/>
      <c r="R11" s="16"/>
      <c r="S11" s="16"/>
      <c r="T11" s="16"/>
      <c r="U11" s="16"/>
      <c r="V11" s="21" t="s">
        <v>21</v>
      </c>
      <c r="W11" s="22"/>
      <c r="Z11" s="19" t="n">
        <v>8</v>
      </c>
      <c r="AA11" s="19" t="n">
        <v>28</v>
      </c>
      <c r="AB11" s="19" t="n">
        <v>48</v>
      </c>
      <c r="AC11" s="26" t="n">
        <v>68</v>
      </c>
    </row>
    <row r="12" customFormat="false" ht="15" hidden="false" customHeight="false" outlineLevel="0" collapsed="false">
      <c r="A12" s="27" t="n">
        <v>9</v>
      </c>
      <c r="B12" s="12" t="s">
        <v>29</v>
      </c>
      <c r="C12" s="13" t="s">
        <v>21</v>
      </c>
      <c r="D12" s="13"/>
      <c r="E12" s="13"/>
      <c r="F12" s="13"/>
      <c r="G12" s="13"/>
      <c r="H12" s="13"/>
      <c r="I12" s="14" t="n">
        <v>16</v>
      </c>
      <c r="J12" s="14" t="n">
        <v>16</v>
      </c>
      <c r="K12" s="14" t="n">
        <v>16</v>
      </c>
      <c r="L12" s="14" t="n">
        <v>41</v>
      </c>
      <c r="M12" s="14" t="n">
        <v>53</v>
      </c>
      <c r="N12" s="14" t="n">
        <v>70</v>
      </c>
      <c r="O12" s="14" t="n">
        <v>70</v>
      </c>
      <c r="P12" s="9"/>
      <c r="Q12" s="9"/>
      <c r="R12" s="16"/>
      <c r="S12" s="16"/>
      <c r="T12" s="16"/>
      <c r="U12" s="16"/>
      <c r="V12" s="23" t="n">
        <v>350</v>
      </c>
      <c r="W12" s="22"/>
      <c r="Z12" s="19" t="n">
        <v>9</v>
      </c>
      <c r="AA12" s="19" t="n">
        <v>29</v>
      </c>
      <c r="AB12" s="19" t="n">
        <v>49</v>
      </c>
      <c r="AC12" s="26" t="n">
        <v>69</v>
      </c>
    </row>
    <row r="13" customFormat="false" ht="15" hidden="false" customHeight="false" outlineLevel="0" collapsed="false">
      <c r="A13" s="27" t="n">
        <v>10</v>
      </c>
      <c r="B13" s="12" t="s">
        <v>30</v>
      </c>
      <c r="C13" s="13"/>
      <c r="D13" s="13"/>
      <c r="E13" s="13" t="s">
        <v>21</v>
      </c>
      <c r="F13" s="13" t="s">
        <v>21</v>
      </c>
      <c r="G13" s="13"/>
      <c r="H13" s="13"/>
      <c r="I13" s="13"/>
      <c r="J13" s="14" t="n">
        <v>17</v>
      </c>
      <c r="K13" s="14" t="n">
        <v>17</v>
      </c>
      <c r="L13" s="14" t="n">
        <v>32</v>
      </c>
      <c r="M13" s="14" t="n">
        <v>44</v>
      </c>
      <c r="N13" s="14" t="n">
        <v>56</v>
      </c>
      <c r="O13" s="14" t="n">
        <v>64</v>
      </c>
      <c r="P13" s="29" t="n">
        <v>69</v>
      </c>
      <c r="Q13" s="14"/>
      <c r="R13" s="16"/>
      <c r="S13" s="16"/>
      <c r="T13" s="16"/>
      <c r="U13" s="16"/>
      <c r="V13" s="17"/>
      <c r="W13" s="22"/>
      <c r="Z13" s="19" t="n">
        <v>10</v>
      </c>
      <c r="AA13" s="19" t="n">
        <v>30</v>
      </c>
      <c r="AB13" s="19" t="n">
        <v>50</v>
      </c>
      <c r="AC13" s="26" t="n">
        <v>70</v>
      </c>
    </row>
    <row r="14" customFormat="false" ht="15" hidden="false" customHeight="false" outlineLevel="0" collapsed="false">
      <c r="A14" s="27" t="n">
        <v>11</v>
      </c>
      <c r="B14" s="12" t="s">
        <v>31</v>
      </c>
      <c r="C14" s="13"/>
      <c r="D14" s="13"/>
      <c r="E14" s="13"/>
      <c r="F14" s="13"/>
      <c r="G14" s="13"/>
      <c r="H14" s="13"/>
      <c r="I14" s="13"/>
      <c r="J14" s="14" t="n">
        <v>13</v>
      </c>
      <c r="K14" s="14" t="n">
        <v>13</v>
      </c>
      <c r="L14" s="14" t="n">
        <v>13</v>
      </c>
      <c r="M14" s="14" t="n">
        <v>13</v>
      </c>
      <c r="N14" s="14" t="n">
        <v>13</v>
      </c>
      <c r="O14" s="14" t="n">
        <v>13</v>
      </c>
      <c r="P14" s="14" t="n">
        <v>20</v>
      </c>
      <c r="Q14" s="14" t="n">
        <v>20</v>
      </c>
      <c r="R14" s="30" t="n">
        <v>20</v>
      </c>
      <c r="S14" s="30" t="n">
        <v>20</v>
      </c>
      <c r="T14" s="30" t="n">
        <v>20</v>
      </c>
      <c r="U14" s="30" t="n">
        <v>31</v>
      </c>
      <c r="V14" s="17"/>
      <c r="W14" s="22" t="s">
        <v>21</v>
      </c>
      <c r="Z14" s="19" t="n">
        <v>11</v>
      </c>
      <c r="AA14" s="19" t="n">
        <v>31</v>
      </c>
      <c r="AB14" s="19" t="n">
        <v>51</v>
      </c>
      <c r="AC14" s="26" t="n">
        <v>71</v>
      </c>
    </row>
    <row r="15" customFormat="false" ht="15" hidden="false" customHeight="false" outlineLevel="0" collapsed="false">
      <c r="A15" s="27" t="n">
        <v>12</v>
      </c>
      <c r="B15" s="12" t="s">
        <v>32</v>
      </c>
      <c r="C15" s="13" t="n">
        <v>26</v>
      </c>
      <c r="D15" s="13"/>
      <c r="E15" s="13" t="s">
        <v>21</v>
      </c>
      <c r="F15" s="13" t="s">
        <v>21</v>
      </c>
      <c r="G15" s="13"/>
      <c r="H15" s="13"/>
      <c r="I15" s="14" t="n">
        <v>12</v>
      </c>
      <c r="J15" s="14" t="n">
        <v>2</v>
      </c>
      <c r="K15" s="14" t="n">
        <v>26</v>
      </c>
      <c r="L15" s="14" t="n">
        <v>36</v>
      </c>
      <c r="M15" s="14" t="n">
        <v>36</v>
      </c>
      <c r="N15" s="14" t="n">
        <v>57</v>
      </c>
      <c r="O15" s="14" t="n">
        <v>57</v>
      </c>
      <c r="P15" s="9"/>
      <c r="Q15" s="9"/>
      <c r="R15" s="16"/>
      <c r="S15" s="16"/>
      <c r="T15" s="16"/>
      <c r="U15" s="16"/>
      <c r="V15" s="17"/>
      <c r="W15" s="22" t="s">
        <v>21</v>
      </c>
      <c r="Z15" s="19" t="n">
        <v>12</v>
      </c>
      <c r="AA15" s="19" t="n">
        <v>32</v>
      </c>
      <c r="AB15" s="19" t="n">
        <v>52</v>
      </c>
      <c r="AC15" s="26" t="n">
        <v>72</v>
      </c>
    </row>
    <row r="16" customFormat="false" ht="15" hidden="false" customHeight="false" outlineLevel="0" collapsed="false">
      <c r="A16" s="6" t="n">
        <v>13</v>
      </c>
      <c r="B16" s="12" t="s">
        <v>33</v>
      </c>
      <c r="C16" s="13"/>
      <c r="D16" s="13"/>
      <c r="E16" s="13"/>
      <c r="F16" s="13"/>
      <c r="G16" s="13"/>
      <c r="H16" s="13"/>
      <c r="I16" s="13"/>
      <c r="J16" s="14" t="n">
        <v>33</v>
      </c>
      <c r="K16" s="14" t="n">
        <v>33</v>
      </c>
      <c r="L16" s="14" t="n">
        <v>42</v>
      </c>
      <c r="M16" s="14" t="n">
        <v>51</v>
      </c>
      <c r="N16" s="14" t="n">
        <v>60</v>
      </c>
      <c r="O16" s="14" t="n">
        <v>68</v>
      </c>
      <c r="P16" s="8"/>
      <c r="Q16" s="9"/>
      <c r="R16" s="16"/>
      <c r="S16" s="16"/>
      <c r="T16" s="16"/>
      <c r="U16" s="16"/>
      <c r="V16" s="21" t="s">
        <v>21</v>
      </c>
      <c r="W16" s="18"/>
      <c r="Z16" s="19" t="n">
        <v>13</v>
      </c>
      <c r="AA16" s="19" t="n">
        <v>33</v>
      </c>
      <c r="AB16" s="19" t="n">
        <v>53</v>
      </c>
      <c r="AC16" s="26" t="n">
        <v>73</v>
      </c>
    </row>
    <row r="17" customFormat="false" ht="15" hidden="false" customHeight="false" outlineLevel="0" collapsed="false">
      <c r="A17" s="6" t="n">
        <v>14</v>
      </c>
      <c r="B17" s="12" t="s">
        <v>34</v>
      </c>
      <c r="C17" s="13"/>
      <c r="D17" s="13"/>
      <c r="E17" s="13"/>
      <c r="F17" s="13"/>
      <c r="G17" s="13"/>
      <c r="H17" s="13"/>
      <c r="I17" s="13"/>
      <c r="J17" s="14" t="n">
        <v>19</v>
      </c>
      <c r="K17" s="14" t="n">
        <v>19</v>
      </c>
      <c r="L17" s="14" t="n">
        <v>19</v>
      </c>
      <c r="M17" s="14" t="n">
        <v>61</v>
      </c>
      <c r="N17" s="14" t="n">
        <v>61</v>
      </c>
      <c r="O17" s="14" t="n">
        <v>61</v>
      </c>
      <c r="P17" s="14" t="n">
        <v>62</v>
      </c>
      <c r="Q17" s="14" t="n">
        <v>62</v>
      </c>
      <c r="R17" s="14" t="n">
        <v>62</v>
      </c>
      <c r="S17" s="16"/>
      <c r="T17" s="16"/>
      <c r="U17" s="16"/>
      <c r="V17" s="23" t="n">
        <v>350</v>
      </c>
      <c r="W17" s="22" t="s">
        <v>21</v>
      </c>
      <c r="Z17" s="19" t="n">
        <v>14</v>
      </c>
      <c r="AA17" s="19" t="n">
        <v>34</v>
      </c>
      <c r="AB17" s="19" t="n">
        <v>54</v>
      </c>
      <c r="AC17" s="26" t="n">
        <v>74</v>
      </c>
    </row>
    <row r="18" customFormat="false" ht="15" hidden="false" customHeight="false" outlineLevel="0" collapsed="false">
      <c r="A18" s="6" t="n">
        <v>15</v>
      </c>
      <c r="B18" s="12" t="s">
        <v>35</v>
      </c>
      <c r="C18" s="13"/>
      <c r="D18" s="13"/>
      <c r="E18" s="13"/>
      <c r="F18" s="13"/>
      <c r="G18" s="13"/>
      <c r="H18" s="13"/>
      <c r="I18" s="13"/>
      <c r="J18" s="14" t="n">
        <v>6</v>
      </c>
      <c r="K18" s="14" t="n">
        <v>22</v>
      </c>
      <c r="L18" s="14" t="n">
        <v>30</v>
      </c>
      <c r="M18" s="14" t="n">
        <v>45</v>
      </c>
      <c r="N18" s="14" t="n">
        <v>55</v>
      </c>
      <c r="O18" s="14" t="n">
        <v>63</v>
      </c>
      <c r="P18" s="9"/>
      <c r="Q18" s="9"/>
      <c r="R18" s="16"/>
      <c r="S18" s="16"/>
      <c r="T18" s="16"/>
      <c r="U18" s="16"/>
      <c r="V18" s="17"/>
      <c r="W18" s="18"/>
      <c r="Z18" s="19" t="n">
        <v>15</v>
      </c>
      <c r="AA18" s="19" t="n">
        <v>35</v>
      </c>
      <c r="AB18" s="19" t="n">
        <v>55</v>
      </c>
      <c r="AC18" s="26" t="n">
        <v>75</v>
      </c>
    </row>
    <row r="19" customFormat="false" ht="15" hidden="false" customHeight="false" outlineLevel="0" collapsed="false">
      <c r="A19" s="6" t="s">
        <v>21</v>
      </c>
      <c r="B19" s="12" t="s">
        <v>36</v>
      </c>
      <c r="C19" s="13" t="n">
        <v>4</v>
      </c>
      <c r="D19" s="13" t="n">
        <v>4</v>
      </c>
      <c r="E19" s="13" t="n">
        <v>4</v>
      </c>
      <c r="F19" s="13" t="n">
        <v>4</v>
      </c>
      <c r="G19" s="13" t="n">
        <v>4</v>
      </c>
      <c r="H19" s="13"/>
      <c r="I19" s="13" t="n">
        <v>4</v>
      </c>
      <c r="J19" s="14" t="n">
        <v>5</v>
      </c>
      <c r="K19" s="14" t="n">
        <v>5</v>
      </c>
      <c r="L19" s="14" t="n">
        <v>46</v>
      </c>
      <c r="M19" s="31" t="s">
        <v>37</v>
      </c>
      <c r="N19" s="31"/>
      <c r="O19" s="31"/>
      <c r="P19" s="31"/>
      <c r="Q19" s="31"/>
      <c r="R19" s="32"/>
      <c r="S19" s="32"/>
      <c r="T19" s="32"/>
      <c r="U19" s="32"/>
      <c r="V19" s="21" t="s">
        <v>21</v>
      </c>
      <c r="W19" s="18"/>
      <c r="Z19" s="19" t="n">
        <v>16</v>
      </c>
      <c r="AA19" s="19" t="n">
        <v>36</v>
      </c>
      <c r="AB19" s="19" t="n">
        <v>56</v>
      </c>
      <c r="AC19" s="26" t="n">
        <v>76</v>
      </c>
    </row>
    <row r="20" customFormat="false" ht="15" hidden="false" customHeight="false" outlineLevel="0" collapsed="false">
      <c r="A20" s="6" t="s">
        <v>21</v>
      </c>
      <c r="B20" s="12" t="s">
        <v>38</v>
      </c>
      <c r="C20" s="33" t="n">
        <v>128</v>
      </c>
      <c r="D20" s="13"/>
      <c r="E20" s="13"/>
      <c r="F20" s="13"/>
      <c r="G20" s="13"/>
      <c r="H20" s="13"/>
      <c r="I20" s="13" t="n">
        <v>18</v>
      </c>
      <c r="J20" s="14" t="n">
        <v>18</v>
      </c>
      <c r="K20" s="14" t="n">
        <v>25</v>
      </c>
      <c r="L20" s="31" t="s">
        <v>24</v>
      </c>
      <c r="M20" s="31" t="s">
        <v>24</v>
      </c>
      <c r="N20" s="34" t="s">
        <v>39</v>
      </c>
      <c r="O20" s="31"/>
      <c r="P20" s="31"/>
      <c r="Q20" s="31"/>
      <c r="R20" s="32"/>
      <c r="S20" s="32"/>
      <c r="T20" s="32"/>
      <c r="U20" s="32"/>
      <c r="V20" s="23" t="n">
        <v>700</v>
      </c>
      <c r="W20" s="18"/>
      <c r="Z20" s="19" t="n">
        <v>17</v>
      </c>
      <c r="AA20" s="19" t="n">
        <v>37</v>
      </c>
      <c r="AB20" s="19" t="n">
        <v>57</v>
      </c>
      <c r="AC20" s="26" t="n">
        <v>77</v>
      </c>
    </row>
    <row r="21" customFormat="false" ht="15" hidden="false" customHeight="false" outlineLevel="0" collapsed="false">
      <c r="A21" s="6" t="s">
        <v>21</v>
      </c>
      <c r="B21" s="12" t="s">
        <v>40</v>
      </c>
      <c r="C21" s="13"/>
      <c r="D21" s="13"/>
      <c r="E21" s="13"/>
      <c r="F21" s="13"/>
      <c r="G21" s="13"/>
      <c r="H21" s="13" t="n">
        <v>35</v>
      </c>
      <c r="I21" s="13" t="n">
        <v>35</v>
      </c>
      <c r="J21" s="31" t="s">
        <v>23</v>
      </c>
      <c r="K21" s="31" t="s">
        <v>23</v>
      </c>
      <c r="L21" s="31" t="s">
        <v>24</v>
      </c>
      <c r="M21" s="34" t="s">
        <v>41</v>
      </c>
      <c r="N21" s="34"/>
      <c r="O21" s="34"/>
      <c r="P21" s="34"/>
      <c r="Q21" s="34"/>
      <c r="R21" s="32"/>
      <c r="S21" s="32"/>
      <c r="T21" s="32"/>
      <c r="U21" s="32"/>
      <c r="V21" s="21" t="n">
        <v>1050</v>
      </c>
      <c r="W21" s="18"/>
      <c r="Z21" s="19" t="n">
        <v>18</v>
      </c>
      <c r="AA21" s="19" t="n">
        <v>38</v>
      </c>
      <c r="AB21" s="19" t="n">
        <v>58</v>
      </c>
      <c r="AC21" s="26" t="n">
        <v>78</v>
      </c>
    </row>
    <row r="22" customFormat="false" ht="15" hidden="false" customHeight="false" outlineLevel="0" collapsed="false">
      <c r="A22" s="6" t="s">
        <v>21</v>
      </c>
      <c r="B22" s="6"/>
      <c r="C22" s="7"/>
      <c r="D22" s="7"/>
      <c r="E22" s="9"/>
      <c r="F22" s="9"/>
      <c r="G22" s="9"/>
      <c r="H22" s="9"/>
      <c r="I22" s="9"/>
      <c r="J22" s="9"/>
      <c r="K22" s="35" t="s">
        <v>42</v>
      </c>
      <c r="L22" s="35"/>
      <c r="M22" s="35"/>
      <c r="N22" s="35"/>
      <c r="O22" s="35"/>
      <c r="P22" s="35"/>
      <c r="Q22" s="35"/>
      <c r="R22" s="35"/>
      <c r="S22" s="35"/>
      <c r="T22" s="35"/>
      <c r="U22" s="16"/>
      <c r="V22" s="18"/>
      <c r="W22" s="6"/>
      <c r="Z22" s="19" t="n">
        <v>19</v>
      </c>
      <c r="AA22" s="19" t="n">
        <v>39</v>
      </c>
      <c r="AB22" s="19" t="n">
        <v>59</v>
      </c>
      <c r="AC22" s="26" t="n">
        <v>79</v>
      </c>
    </row>
    <row r="23" customFormat="false" ht="15" hidden="false" customHeight="false" outlineLevel="0" collapsed="false">
      <c r="A23" s="6"/>
      <c r="B23" s="6"/>
      <c r="C23" s="8" t="s">
        <v>21</v>
      </c>
      <c r="D23" s="8" t="s">
        <v>43</v>
      </c>
      <c r="E23" s="8"/>
      <c r="F23" s="8"/>
      <c r="G23" s="8"/>
      <c r="H23" s="8"/>
      <c r="I23" s="8"/>
      <c r="J23" s="9"/>
      <c r="K23" s="35" t="s">
        <v>21</v>
      </c>
      <c r="L23" s="35"/>
      <c r="M23" s="35"/>
      <c r="N23" s="35"/>
      <c r="O23" s="35"/>
      <c r="P23" s="35"/>
      <c r="Q23" s="35"/>
      <c r="R23" s="35"/>
      <c r="S23" s="35"/>
      <c r="T23" s="35"/>
      <c r="U23" s="16"/>
      <c r="V23" s="18"/>
      <c r="W23" s="6"/>
      <c r="Z23" s="19" t="n">
        <v>20</v>
      </c>
      <c r="AA23" s="19" t="n">
        <v>40</v>
      </c>
      <c r="AB23" s="19" t="n">
        <v>60</v>
      </c>
      <c r="AC23" s="26" t="n">
        <v>80</v>
      </c>
    </row>
    <row r="26" customFormat="false" ht="15" hidden="false" customHeight="false" outlineLevel="0" collapsed="false"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</row>
    <row r="27" customFormat="false" ht="15" hidden="false" customHeight="false" outlineLevel="0" collapsed="false">
      <c r="A27" s="37"/>
      <c r="B27" s="37"/>
      <c r="C27" s="37"/>
      <c r="D27" s="38"/>
      <c r="E27" s="37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</row>
    <row r="28" customFormat="false" ht="15" hidden="false" customHeight="false" outlineLevel="0" collapsed="false">
      <c r="A28" s="37"/>
      <c r="B28" s="40"/>
      <c r="C28" s="40"/>
      <c r="D28" s="41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</row>
    <row r="29" customFormat="false" ht="15" hidden="false" customHeight="false" outlineLevel="0" collapsed="false">
      <c r="A29" s="40"/>
      <c r="B29" s="40"/>
      <c r="C29" s="40"/>
      <c r="D29" s="41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</row>
    <row r="30" customFormat="false" ht="15" hidden="false" customHeight="false" outlineLevel="0" collapsed="false">
      <c r="A30" s="40"/>
      <c r="B30" s="40"/>
      <c r="C30" s="40"/>
      <c r="D30" s="41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</row>
    <row r="31" customFormat="false" ht="15" hidden="false" customHeight="false" outlineLevel="0" collapsed="false">
      <c r="A31" s="40"/>
      <c r="B31" s="40"/>
      <c r="C31" s="40"/>
      <c r="D31" s="41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</row>
    <row r="32" customFormat="false" ht="15" hidden="false" customHeight="false" outlineLevel="0" collapsed="false">
      <c r="A32" s="37"/>
      <c r="B32" s="40"/>
      <c r="C32" s="40"/>
      <c r="D32" s="41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</row>
    <row r="33" customFormat="false" ht="15" hidden="false" customHeight="false" outlineLevel="0" collapsed="false">
      <c r="A33" s="37"/>
      <c r="B33" s="40"/>
      <c r="C33" s="40"/>
      <c r="D33" s="41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</row>
    <row r="34" customFormat="false" ht="15" hidden="false" customHeight="false" outlineLevel="0" collapsed="false">
      <c r="A34" s="37"/>
      <c r="B34" s="43"/>
      <c r="C34" s="43"/>
      <c r="D34" s="44"/>
      <c r="E34" s="45"/>
      <c r="F34" s="45"/>
      <c r="G34" s="46"/>
      <c r="H34" s="46"/>
      <c r="I34" s="46"/>
      <c r="J34" s="42"/>
      <c r="K34" s="42"/>
      <c r="L34" s="42"/>
      <c r="M34" s="42"/>
      <c r="N34" s="42"/>
      <c r="O34" s="42"/>
      <c r="P34" s="42"/>
      <c r="Q34" s="42"/>
    </row>
    <row r="35" customFormat="false" ht="15" hidden="false" customHeight="false" outlineLevel="0" collapsed="false">
      <c r="A35" s="37"/>
      <c r="B35" s="40"/>
      <c r="C35" s="40"/>
      <c r="D35" s="41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</row>
    <row r="36" customFormat="false" ht="15" hidden="false" customHeight="false" outlineLevel="0" collapsed="false">
      <c r="A36" s="37"/>
      <c r="B36" s="40"/>
      <c r="C36" s="40"/>
      <c r="D36" s="41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6"/>
      <c r="Q36" s="36"/>
    </row>
  </sheetData>
  <mergeCells count="12">
    <mergeCell ref="E1:U1"/>
    <mergeCell ref="B2:Q2"/>
    <mergeCell ref="M19:P19"/>
    <mergeCell ref="M21:Q21"/>
    <mergeCell ref="K22:T22"/>
    <mergeCell ref="D23:I23"/>
    <mergeCell ref="K23:T23"/>
    <mergeCell ref="B26:Q26"/>
    <mergeCell ref="G34:I34"/>
    <mergeCell ref="E36:I36"/>
    <mergeCell ref="J36:N36"/>
    <mergeCell ref="P36:Q36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0"/>
  <sheetViews>
    <sheetView showFormulas="false" showGridLines="true" showRowColHeaders="true" showZeros="true" rightToLeft="false" tabSelected="true" showOutlineSymbols="true" defaultGridColor="true" view="normal" topLeftCell="A330" colorId="64" zoomScale="100" zoomScaleNormal="100" zoomScalePageLayoutView="100" workbookViewId="0">
      <selection pane="topLeft" activeCell="D347" activeCellId="0" sqref="D347"/>
    </sheetView>
  </sheetViews>
  <sheetFormatPr defaultColWidth="10.95703125" defaultRowHeight="15" zeroHeight="false" outlineLevelRow="0" outlineLevelCol="0"/>
  <cols>
    <col collapsed="false" customWidth="true" hidden="false" outlineLevel="0" max="1" min="1" style="1" width="8.27"/>
    <col collapsed="false" customWidth="true" hidden="false" outlineLevel="0" max="3" min="3" style="1" width="11.39"/>
    <col collapsed="false" customWidth="true" hidden="false" outlineLevel="0" max="4" min="4" style="1" width="3.69"/>
    <col collapsed="false" customWidth="true" hidden="false" outlineLevel="0" max="5" min="5" style="1" width="10.13"/>
    <col collapsed="false" customWidth="true" hidden="false" outlineLevel="0" max="6" min="6" style="1" width="10.84"/>
    <col collapsed="false" customWidth="true" hidden="false" outlineLevel="0" max="8" min="7" style="1" width="9.55"/>
    <col collapsed="false" customWidth="true" hidden="false" outlineLevel="0" max="9" min="9" style="1" width="10.55"/>
    <col collapsed="false" customWidth="true" hidden="false" outlineLevel="0" max="11" min="11" style="1" width="15.18"/>
    <col collapsed="false" customWidth="true" hidden="false" outlineLevel="0" max="12" min="12" style="1" width="18.84"/>
  </cols>
  <sheetData>
    <row r="1" customFormat="false" ht="57" hidden="false" customHeight="true" outlineLevel="0" collapsed="false">
      <c r="C1" s="47"/>
      <c r="D1" s="48" t="s">
        <v>44</v>
      </c>
      <c r="E1" s="48"/>
      <c r="F1" s="48"/>
      <c r="G1" s="48"/>
      <c r="H1" s="48"/>
      <c r="I1" s="48"/>
      <c r="J1" s="48"/>
      <c r="K1" s="49"/>
      <c r="L1" s="49"/>
    </row>
    <row r="2" customFormat="false" ht="15" hidden="false" customHeight="false" outlineLevel="0" collapsed="false">
      <c r="G2" s="36"/>
      <c r="H2" s="36"/>
      <c r="I2" s="36"/>
      <c r="J2" s="36"/>
    </row>
    <row r="3" customFormat="false" ht="15" hidden="false" customHeight="false" outlineLevel="0" collapsed="false">
      <c r="B3" s="50" t="s">
        <v>45</v>
      </c>
      <c r="C3" s="50"/>
      <c r="D3" s="50"/>
      <c r="E3" s="50"/>
      <c r="F3" s="50"/>
      <c r="G3" s="50"/>
      <c r="H3" s="50"/>
      <c r="I3" s="50"/>
      <c r="J3" s="50"/>
      <c r="K3" s="50"/>
    </row>
    <row r="4" customFormat="false" ht="15" hidden="false" customHeight="false" outlineLevel="0" collapsed="false">
      <c r="B4" s="50" t="s">
        <v>46</v>
      </c>
      <c r="C4" s="51" t="n">
        <v>300</v>
      </c>
      <c r="D4" s="50"/>
      <c r="E4" s="52" t="s">
        <v>47</v>
      </c>
      <c r="F4" s="50"/>
      <c r="G4" s="53" t="n">
        <v>50</v>
      </c>
      <c r="H4" s="53"/>
      <c r="I4" s="54" t="s">
        <v>48</v>
      </c>
      <c r="J4" s="54" t="n">
        <v>18</v>
      </c>
    </row>
    <row r="5" customFormat="false" ht="15" hidden="false" customHeight="false" outlineLevel="0" collapsed="false">
      <c r="B5" s="50"/>
      <c r="C5" s="51"/>
      <c r="D5" s="50"/>
      <c r="E5" s="52"/>
      <c r="F5" s="50"/>
      <c r="G5" s="53"/>
      <c r="H5" s="53"/>
      <c r="I5" s="54"/>
      <c r="J5" s="54"/>
    </row>
    <row r="6" customFormat="false" ht="15" hidden="false" customHeight="false" outlineLevel="0" collapsed="false">
      <c r="E6" s="55" t="s">
        <v>49</v>
      </c>
      <c r="F6" s="55"/>
      <c r="G6" s="55"/>
      <c r="H6" s="55"/>
      <c r="I6" s="55"/>
      <c r="J6" s="56" t="s">
        <v>50</v>
      </c>
      <c r="K6" s="56"/>
    </row>
    <row r="7" customFormat="false" ht="15" hidden="false" customHeight="false" outlineLevel="0" collapsed="false">
      <c r="A7" s="57" t="s">
        <v>51</v>
      </c>
      <c r="B7" s="58" t="s">
        <v>52</v>
      </c>
      <c r="C7" s="58"/>
      <c r="D7" s="58"/>
      <c r="E7" s="59" t="s">
        <v>53</v>
      </c>
      <c r="F7" s="60" t="s">
        <v>54</v>
      </c>
      <c r="G7" s="61" t="s">
        <v>55</v>
      </c>
      <c r="H7" s="61" t="s">
        <v>56</v>
      </c>
      <c r="I7" s="62" t="s">
        <v>57</v>
      </c>
      <c r="J7" s="59" t="s">
        <v>58</v>
      </c>
      <c r="K7" s="59" t="s">
        <v>59</v>
      </c>
      <c r="L7" s="59" t="s">
        <v>60</v>
      </c>
    </row>
    <row r="8" customFormat="false" ht="15" hidden="false" customHeight="false" outlineLevel="0" collapsed="false">
      <c r="A8" s="63" t="s">
        <v>61</v>
      </c>
      <c r="B8" s="64" t="s">
        <v>62</v>
      </c>
      <c r="C8" s="64"/>
      <c r="D8" s="64"/>
      <c r="E8" s="65" t="n">
        <v>0</v>
      </c>
      <c r="F8" s="65" t="n">
        <v>0</v>
      </c>
      <c r="G8" s="66" t="n">
        <v>372</v>
      </c>
      <c r="H8" s="66" t="n">
        <v>0</v>
      </c>
      <c r="I8" s="66" t="n">
        <v>0</v>
      </c>
      <c r="J8" s="67" t="n">
        <f aca="false">SUM(E8+F8+G8+H8+I8)</f>
        <v>372</v>
      </c>
      <c r="K8" s="68" t="n">
        <v>46035</v>
      </c>
      <c r="L8" s="69" t="s">
        <v>63</v>
      </c>
    </row>
    <row r="9" customFormat="false" ht="15" hidden="false" customHeight="false" outlineLevel="0" collapsed="false">
      <c r="A9" s="63"/>
      <c r="B9" s="64" t="s">
        <v>62</v>
      </c>
      <c r="C9" s="64"/>
      <c r="D9" s="64"/>
      <c r="E9" s="65"/>
      <c r="F9" s="65"/>
      <c r="G9" s="66" t="n">
        <v>147</v>
      </c>
      <c r="H9" s="66"/>
      <c r="I9" s="66"/>
      <c r="J9" s="67" t="n">
        <f aca="false">SUM(E9+F9+G9+H9+I9)</f>
        <v>147</v>
      </c>
      <c r="K9" s="68" t="n">
        <v>46042</v>
      </c>
      <c r="L9" s="69"/>
    </row>
    <row r="10" customFormat="false" ht="15" hidden="false" customHeight="false" outlineLevel="0" collapsed="false">
      <c r="A10" s="63"/>
      <c r="B10" s="64" t="s">
        <v>62</v>
      </c>
      <c r="C10" s="64"/>
      <c r="D10" s="64"/>
      <c r="E10" s="65"/>
      <c r="F10" s="65"/>
      <c r="G10" s="65" t="n">
        <v>190</v>
      </c>
      <c r="H10" s="65"/>
      <c r="I10" s="66" t="n">
        <v>0</v>
      </c>
      <c r="J10" s="67" t="n">
        <f aca="false">SUM(E10+F10+G10+H10+I10)</f>
        <v>190</v>
      </c>
      <c r="K10" s="68" t="n">
        <v>46049</v>
      </c>
      <c r="L10" s="69"/>
    </row>
    <row r="11" customFormat="false" ht="15" hidden="false" customHeight="false" outlineLevel="0" collapsed="false">
      <c r="A11" s="63" t="s">
        <v>64</v>
      </c>
      <c r="B11" s="70" t="s">
        <v>17</v>
      </c>
      <c r="C11" s="71"/>
      <c r="D11" s="72"/>
      <c r="E11" s="65" t="n">
        <v>285</v>
      </c>
      <c r="F11" s="65" t="n">
        <v>50</v>
      </c>
      <c r="G11" s="65"/>
      <c r="H11" s="65" t="n">
        <v>15</v>
      </c>
      <c r="I11" s="66"/>
      <c r="J11" s="67" t="n">
        <f aca="false">SUM(E11+F11+G11+H11+I11)</f>
        <v>350</v>
      </c>
      <c r="K11" s="68"/>
      <c r="L11" s="69"/>
    </row>
    <row r="12" customFormat="false" ht="15" hidden="false" customHeight="false" outlineLevel="0" collapsed="false">
      <c r="A12" s="63" t="s">
        <v>65</v>
      </c>
      <c r="B12" s="70" t="s">
        <v>32</v>
      </c>
      <c r="C12" s="71"/>
      <c r="D12" s="72"/>
      <c r="E12" s="65" t="n">
        <v>285</v>
      </c>
      <c r="F12" s="65" t="n">
        <v>50</v>
      </c>
      <c r="G12" s="65"/>
      <c r="H12" s="65" t="n">
        <v>15</v>
      </c>
      <c r="I12" s="66"/>
      <c r="J12" s="67" t="n">
        <f aca="false">SUM(E12+F12+G12+H12+I12)</f>
        <v>350</v>
      </c>
      <c r="K12" s="68"/>
      <c r="L12" s="69"/>
    </row>
    <row r="13" customFormat="false" ht="15" hidden="false" customHeight="false" outlineLevel="0" collapsed="false">
      <c r="A13" s="63" t="s">
        <v>66</v>
      </c>
      <c r="B13" s="70" t="s">
        <v>22</v>
      </c>
      <c r="C13" s="71"/>
      <c r="D13" s="72"/>
      <c r="E13" s="65" t="n">
        <v>5000</v>
      </c>
      <c r="F13" s="65"/>
      <c r="G13" s="65"/>
      <c r="H13" s="65"/>
      <c r="I13" s="66" t="n">
        <v>0</v>
      </c>
      <c r="J13" s="67" t="n">
        <f aca="false">SUM(E13+F13+G13+H13+I13)</f>
        <v>5000</v>
      </c>
      <c r="K13" s="68" t="n">
        <v>46049</v>
      </c>
      <c r="L13" s="73" t="s">
        <v>67</v>
      </c>
    </row>
    <row r="14" customFormat="false" ht="15.75" hidden="false" customHeight="true" outlineLevel="0" collapsed="false">
      <c r="A14" s="63" t="s">
        <v>68</v>
      </c>
      <c r="B14" s="70" t="s">
        <v>69</v>
      </c>
      <c r="C14" s="71"/>
      <c r="D14" s="72"/>
      <c r="E14" s="65" t="n">
        <v>1050</v>
      </c>
      <c r="F14" s="65" t="n">
        <v>250</v>
      </c>
      <c r="G14" s="65"/>
      <c r="H14" s="65"/>
      <c r="I14" s="66" t="n">
        <v>128</v>
      </c>
      <c r="J14" s="67" t="n">
        <f aca="false">SUM(E14+F14+G14+H14+I14)</f>
        <v>1428</v>
      </c>
      <c r="K14" s="68" t="n">
        <v>46052</v>
      </c>
      <c r="L14" s="73" t="s">
        <v>70</v>
      </c>
    </row>
    <row r="15" customFormat="false" ht="15" hidden="false" customHeight="false" outlineLevel="0" collapsed="false">
      <c r="A15" s="63" t="s">
        <v>71</v>
      </c>
      <c r="B15" s="64" t="s">
        <v>69</v>
      </c>
      <c r="C15" s="64"/>
      <c r="D15" s="64"/>
      <c r="E15" s="65" t="n">
        <v>570</v>
      </c>
      <c r="F15" s="65" t="n">
        <v>100</v>
      </c>
      <c r="G15" s="65"/>
      <c r="H15" s="65" t="n">
        <v>30</v>
      </c>
      <c r="I15" s="66" t="n">
        <v>0</v>
      </c>
      <c r="J15" s="67" t="n">
        <f aca="false">SUM(E15+F15+G15+H15+I15)</f>
        <v>700</v>
      </c>
      <c r="K15" s="68" t="n">
        <v>46052</v>
      </c>
      <c r="L15" s="69" t="s">
        <v>72</v>
      </c>
    </row>
    <row r="16" customFormat="false" ht="15" hidden="false" customHeight="false" outlineLevel="0" collapsed="false">
      <c r="A16" s="63" t="s">
        <v>73</v>
      </c>
      <c r="B16" s="64" t="s">
        <v>74</v>
      </c>
      <c r="C16" s="64"/>
      <c r="D16" s="64"/>
      <c r="E16" s="65" t="n">
        <v>285</v>
      </c>
      <c r="F16" s="65" t="n">
        <v>50</v>
      </c>
      <c r="G16" s="65"/>
      <c r="H16" s="65" t="n">
        <v>15</v>
      </c>
      <c r="I16" s="66"/>
      <c r="J16" s="67" t="n">
        <f aca="false">SUM(E16+F16+G16+H16+I16)</f>
        <v>350</v>
      </c>
      <c r="K16" s="68" t="n">
        <v>46052</v>
      </c>
      <c r="L16" s="74" t="s">
        <v>21</v>
      </c>
    </row>
    <row r="17" customFormat="false" ht="15" hidden="false" customHeight="false" outlineLevel="0" collapsed="false">
      <c r="A17" s="63"/>
      <c r="B17" s="64"/>
      <c r="C17" s="64"/>
      <c r="D17" s="64"/>
      <c r="E17" s="65"/>
      <c r="F17" s="65"/>
      <c r="G17" s="65"/>
      <c r="H17" s="65"/>
      <c r="I17" s="66"/>
      <c r="J17" s="67" t="n">
        <f aca="false">SUM(E17+F17+G17+H17+I17)</f>
        <v>0</v>
      </c>
      <c r="K17" s="68"/>
      <c r="L17" s="69"/>
    </row>
    <row r="18" customFormat="false" ht="15" hidden="false" customHeight="false" outlineLevel="0" collapsed="false">
      <c r="A18" s="63"/>
      <c r="B18" s="64"/>
      <c r="C18" s="64"/>
      <c r="D18" s="64"/>
      <c r="E18" s="75" t="n">
        <f aca="false">SUM(E8:E17)</f>
        <v>7475</v>
      </c>
      <c r="F18" s="75" t="n">
        <f aca="false">SUM(F8:F17)</f>
        <v>500</v>
      </c>
      <c r="G18" s="75" t="n">
        <f aca="false">SUM(G8:G17)</f>
        <v>709</v>
      </c>
      <c r="H18" s="75" t="n">
        <f aca="false">SUM(H8:H17)</f>
        <v>75</v>
      </c>
      <c r="I18" s="75" t="n">
        <f aca="false">SUM(I8:I17)</f>
        <v>128</v>
      </c>
      <c r="J18" s="67" t="n">
        <f aca="false">SUM(E18+F18+G18+H18+I18)</f>
        <v>8887</v>
      </c>
      <c r="K18" s="76"/>
      <c r="L18" s="69"/>
    </row>
    <row r="19" customFormat="false" ht="15" hidden="false" customHeight="false" outlineLevel="0" collapsed="false">
      <c r="A19" s="77"/>
      <c r="B19" s="78"/>
      <c r="C19" s="78"/>
      <c r="D19" s="78"/>
      <c r="E19" s="79"/>
      <c r="F19" s="79"/>
      <c r="G19" s="80"/>
      <c r="H19" s="80"/>
      <c r="I19" s="80"/>
      <c r="J19" s="81"/>
    </row>
    <row r="20" customFormat="false" ht="15" hidden="false" customHeight="false" outlineLevel="0" collapsed="false">
      <c r="A20" s="82"/>
      <c r="B20" s="83"/>
      <c r="C20" s="83"/>
      <c r="D20" s="83"/>
      <c r="E20" s="80"/>
      <c r="F20" s="80"/>
      <c r="G20" s="84"/>
      <c r="H20" s="84"/>
      <c r="I20" s="84"/>
      <c r="J20" s="85"/>
    </row>
    <row r="21" customFormat="false" ht="15" hidden="false" customHeight="false" outlineLevel="0" collapsed="false">
      <c r="C21" s="55" t="s">
        <v>75</v>
      </c>
      <c r="D21" s="55"/>
      <c r="E21" s="55"/>
      <c r="F21" s="55"/>
      <c r="G21" s="55"/>
      <c r="H21" s="55"/>
      <c r="I21" s="55"/>
    </row>
    <row r="22" customFormat="false" ht="15" hidden="false" customHeight="true" outlineLevel="0" collapsed="false">
      <c r="A22" s="86" t="s">
        <v>76</v>
      </c>
      <c r="B22" s="87" t="s">
        <v>77</v>
      </c>
      <c r="C22" s="87"/>
      <c r="D22" s="87"/>
      <c r="E22" s="88" t="s">
        <v>78</v>
      </c>
      <c r="F22" s="88"/>
      <c r="G22" s="88"/>
      <c r="H22" s="88"/>
      <c r="I22" s="88"/>
      <c r="J22" s="88"/>
      <c r="K22" s="86" t="s">
        <v>59</v>
      </c>
      <c r="L22" s="89" t="s">
        <v>79</v>
      </c>
    </row>
    <row r="23" customFormat="false" ht="15" hidden="false" customHeight="false" outlineLevel="0" collapsed="false">
      <c r="A23" s="86"/>
      <c r="B23" s="87"/>
      <c r="C23" s="87"/>
      <c r="D23" s="87"/>
      <c r="E23" s="16" t="s">
        <v>53</v>
      </c>
      <c r="F23" s="16" t="s">
        <v>80</v>
      </c>
      <c r="G23" s="90" t="s">
        <v>81</v>
      </c>
      <c r="H23" s="91" t="s">
        <v>56</v>
      </c>
      <c r="I23" s="90" t="s">
        <v>82</v>
      </c>
      <c r="J23" s="92" t="s">
        <v>58</v>
      </c>
      <c r="K23" s="86"/>
      <c r="L23" s="89"/>
    </row>
    <row r="24" customFormat="false" ht="15" hidden="false" customHeight="false" outlineLevel="0" collapsed="false">
      <c r="A24" s="93" t="n">
        <v>1</v>
      </c>
      <c r="B24" s="94" t="s">
        <v>83</v>
      </c>
      <c r="C24" s="94"/>
      <c r="D24" s="94"/>
      <c r="E24" s="95" t="n">
        <v>5584</v>
      </c>
      <c r="F24" s="95"/>
      <c r="G24" s="95"/>
      <c r="H24" s="96"/>
      <c r="I24" s="97"/>
      <c r="J24" s="76"/>
      <c r="K24" s="98" t="n">
        <v>46056</v>
      </c>
      <c r="L24" s="99" t="s">
        <v>21</v>
      </c>
    </row>
    <row r="25" customFormat="false" ht="15" hidden="false" customHeight="false" outlineLevel="0" collapsed="false">
      <c r="A25" s="93" t="n">
        <v>2</v>
      </c>
      <c r="B25" s="100" t="s">
        <v>84</v>
      </c>
      <c r="C25" s="100"/>
      <c r="D25" s="100"/>
      <c r="E25" s="95" t="n">
        <v>90</v>
      </c>
      <c r="F25" s="95"/>
      <c r="G25" s="95"/>
      <c r="H25" s="96"/>
      <c r="I25" s="97"/>
      <c r="J25" s="76"/>
      <c r="K25" s="76"/>
      <c r="L25" s="6" t="s">
        <v>21</v>
      </c>
    </row>
    <row r="26" customFormat="false" ht="15" hidden="false" customHeight="false" outlineLevel="0" collapsed="false">
      <c r="A26" s="93"/>
      <c r="B26" s="101"/>
      <c r="C26" s="101"/>
      <c r="D26" s="101"/>
      <c r="E26" s="102" t="s">
        <v>21</v>
      </c>
      <c r="F26" s="102"/>
      <c r="G26" s="102"/>
      <c r="H26" s="103"/>
      <c r="I26" s="104"/>
      <c r="J26" s="6"/>
      <c r="K26" s="6"/>
      <c r="L26" s="6"/>
    </row>
    <row r="27" customFormat="false" ht="15" hidden="false" customHeight="false" outlineLevel="0" collapsed="false">
      <c r="A27" s="93"/>
      <c r="B27" s="101"/>
      <c r="C27" s="101"/>
      <c r="D27" s="101"/>
      <c r="E27" s="102" t="s">
        <v>21</v>
      </c>
      <c r="F27" s="102"/>
      <c r="G27" s="102"/>
      <c r="H27" s="103"/>
      <c r="I27" s="104"/>
      <c r="J27" s="6"/>
      <c r="K27" s="6"/>
      <c r="L27" s="6"/>
    </row>
    <row r="28" customFormat="false" ht="15" hidden="false" customHeight="false" outlineLevel="0" collapsed="false">
      <c r="A28" s="93"/>
      <c r="B28" s="101"/>
      <c r="C28" s="101"/>
      <c r="D28" s="101"/>
      <c r="E28" s="102" t="s">
        <v>21</v>
      </c>
      <c r="F28" s="102"/>
      <c r="G28" s="18"/>
      <c r="H28" s="104"/>
      <c r="I28" s="104"/>
      <c r="J28" s="6"/>
      <c r="K28" s="6"/>
      <c r="L28" s="6"/>
    </row>
    <row r="29" customFormat="false" ht="15" hidden="false" customHeight="false" outlineLevel="0" collapsed="false">
      <c r="A29" s="6"/>
      <c r="B29" s="101"/>
      <c r="C29" s="101"/>
      <c r="D29" s="101"/>
      <c r="E29" s="22" t="n">
        <f aca="false">SUM(E24:E28)</f>
        <v>5674</v>
      </c>
      <c r="F29" s="22" t="n">
        <f aca="false">SUM(F24:F28)</f>
        <v>0</v>
      </c>
      <c r="G29" s="22" t="n">
        <f aca="false">SUM(G24:G28)</f>
        <v>0</v>
      </c>
      <c r="H29" s="22" t="n">
        <f aca="false">SUM(H24:H28)</f>
        <v>0</v>
      </c>
      <c r="I29" s="22" t="n">
        <f aca="false">SUM(I24:I28)</f>
        <v>0</v>
      </c>
      <c r="J29" s="22" t="n">
        <f aca="false">E29+F29+G29+H29+I29</f>
        <v>5674</v>
      </c>
      <c r="K29" s="6"/>
      <c r="L29" s="6"/>
    </row>
    <row r="30" customFormat="false" ht="15" hidden="false" customHeight="false" outlineLevel="0" collapsed="false">
      <c r="A30" s="85"/>
      <c r="B30" s="78"/>
      <c r="C30" s="78"/>
      <c r="D30" s="78"/>
      <c r="E30" s="105"/>
      <c r="F30" s="105"/>
      <c r="G30" s="105"/>
      <c r="H30" s="105"/>
      <c r="I30" s="105"/>
      <c r="J30" s="85"/>
    </row>
    <row r="31" customFormat="false" ht="15" hidden="false" customHeight="false" outlineLevel="0" collapsed="false">
      <c r="A31" s="85"/>
      <c r="B31" s="83"/>
      <c r="C31" s="83"/>
      <c r="D31" s="83"/>
      <c r="E31" s="105"/>
      <c r="F31" s="105"/>
      <c r="G31" s="105"/>
      <c r="H31" s="106" t="s">
        <v>85</v>
      </c>
      <c r="I31" s="106"/>
      <c r="J31" s="23" t="n">
        <f aca="false">J18-J29</f>
        <v>3213</v>
      </c>
    </row>
    <row r="32" customFormat="false" ht="15" hidden="false" customHeight="false" outlineLevel="0" collapsed="false">
      <c r="A32" s="85"/>
      <c r="B32" s="83"/>
      <c r="C32" s="83"/>
      <c r="D32" s="83"/>
      <c r="E32" s="105"/>
      <c r="F32" s="105"/>
      <c r="G32" s="105"/>
      <c r="H32" s="105"/>
      <c r="I32" s="105"/>
      <c r="J32" s="85"/>
    </row>
    <row r="33" customFormat="false" ht="15" hidden="false" customHeight="false" outlineLevel="0" collapsed="false">
      <c r="A33" s="85"/>
      <c r="B33" s="83"/>
      <c r="C33" s="83"/>
      <c r="D33" s="83"/>
      <c r="E33" s="105"/>
      <c r="F33" s="105"/>
      <c r="G33" s="105"/>
      <c r="H33" s="105"/>
      <c r="I33" s="105"/>
      <c r="J33" s="85"/>
    </row>
    <row r="34" customFormat="false" ht="15" hidden="false" customHeight="false" outlineLevel="0" collapsed="false">
      <c r="A34" s="85"/>
      <c r="B34" s="36" t="s">
        <v>86</v>
      </c>
      <c r="C34" s="36"/>
      <c r="D34" s="107"/>
      <c r="E34" s="36" t="s">
        <v>87</v>
      </c>
      <c r="F34" s="36"/>
      <c r="G34" s="36"/>
      <c r="H34" s="54"/>
      <c r="I34" s="107"/>
      <c r="J34" s="36" t="s">
        <v>88</v>
      </c>
      <c r="K34" s="36"/>
    </row>
    <row r="35" customFormat="false" ht="15" hidden="false" customHeight="false" outlineLevel="0" collapsed="false">
      <c r="A35" s="85"/>
      <c r="C35" s="107"/>
      <c r="D35" s="107"/>
      <c r="E35" s="107"/>
      <c r="F35" s="107"/>
      <c r="G35" s="107"/>
      <c r="H35" s="107"/>
      <c r="I35" s="107"/>
    </row>
    <row r="36" customFormat="false" ht="15" hidden="false" customHeight="false" outlineLevel="0" collapsed="false">
      <c r="A36" s="85"/>
      <c r="B36" s="108" t="s">
        <v>17</v>
      </c>
      <c r="C36" s="108"/>
      <c r="D36" s="108"/>
      <c r="E36" s="109" t="s">
        <v>22</v>
      </c>
      <c r="F36" s="109"/>
      <c r="G36" s="109"/>
      <c r="H36" s="110"/>
      <c r="J36" s="111" t="s">
        <v>19</v>
      </c>
      <c r="K36" s="111"/>
      <c r="L36" s="111"/>
    </row>
    <row r="37" customFormat="false" ht="15" hidden="false" customHeight="false" outlineLevel="0" collapsed="false">
      <c r="A37" s="85"/>
      <c r="B37" s="36" t="s">
        <v>89</v>
      </c>
      <c r="C37" s="36"/>
      <c r="D37" s="107"/>
      <c r="E37" s="36" t="s">
        <v>90</v>
      </c>
      <c r="F37" s="36"/>
      <c r="G37" s="36"/>
      <c r="H37" s="54"/>
      <c r="J37" s="36" t="s">
        <v>91</v>
      </c>
      <c r="K37" s="36"/>
    </row>
    <row r="38" customFormat="false" ht="15" hidden="false" customHeight="false" outlineLevel="0" collapsed="false">
      <c r="A38" s="85"/>
      <c r="B38" s="83"/>
      <c r="C38" s="83"/>
      <c r="D38" s="83"/>
      <c r="E38" s="105"/>
      <c r="F38" s="105"/>
      <c r="G38" s="105"/>
      <c r="H38" s="105"/>
      <c r="I38" s="105"/>
      <c r="J38" s="85"/>
    </row>
    <row r="39" customFormat="false" ht="15" hidden="false" customHeight="false" outlineLevel="0" collapsed="false">
      <c r="A39" s="85"/>
      <c r="B39" s="83"/>
      <c r="C39" s="83"/>
      <c r="D39" s="83"/>
      <c r="E39" s="105"/>
      <c r="F39" s="105"/>
      <c r="G39" s="105"/>
      <c r="H39" s="105"/>
      <c r="I39" s="105"/>
      <c r="J39" s="85"/>
    </row>
    <row r="40" customFormat="false" ht="15" hidden="false" customHeight="false" outlineLevel="0" collapsed="false">
      <c r="A40" s="85"/>
      <c r="B40" s="83"/>
      <c r="C40" s="83"/>
      <c r="D40" s="83"/>
      <c r="E40" s="105"/>
      <c r="F40" s="105"/>
      <c r="G40" s="105"/>
      <c r="H40" s="105"/>
      <c r="I40" s="105"/>
      <c r="J40" s="85"/>
    </row>
    <row r="41" customFormat="false" ht="15" hidden="false" customHeight="false" outlineLevel="0" collapsed="false">
      <c r="A41" s="85"/>
      <c r="B41" s="83"/>
      <c r="C41" s="83"/>
      <c r="D41" s="83"/>
      <c r="E41" s="105"/>
      <c r="F41" s="105"/>
      <c r="G41" s="105"/>
      <c r="H41" s="105"/>
      <c r="I41" s="105"/>
      <c r="J41" s="85"/>
    </row>
    <row r="42" customFormat="false" ht="15" hidden="false" customHeight="false" outlineLevel="0" collapsed="false">
      <c r="A42" s="85"/>
      <c r="B42" s="83"/>
      <c r="C42" s="83"/>
      <c r="D42" s="83"/>
      <c r="E42" s="105"/>
      <c r="F42" s="105"/>
      <c r="G42" s="105"/>
      <c r="H42" s="105"/>
      <c r="I42" s="105"/>
      <c r="J42" s="85"/>
    </row>
    <row r="43" customFormat="false" ht="15" hidden="false" customHeight="false" outlineLevel="0" collapsed="false">
      <c r="A43" s="85"/>
      <c r="B43" s="83"/>
      <c r="C43" s="83"/>
      <c r="D43" s="83"/>
      <c r="E43" s="105"/>
      <c r="F43" s="105"/>
      <c r="G43" s="105"/>
      <c r="H43" s="105"/>
      <c r="I43" s="105"/>
      <c r="J43" s="85"/>
    </row>
    <row r="44" customFormat="false" ht="15" hidden="false" customHeight="false" outlineLevel="0" collapsed="false">
      <c r="A44" s="85"/>
      <c r="B44" s="83"/>
      <c r="C44" s="83"/>
      <c r="D44" s="83"/>
      <c r="E44" s="105"/>
      <c r="F44" s="105"/>
      <c r="G44" s="105"/>
      <c r="H44" s="105"/>
      <c r="I44" s="105"/>
      <c r="J44" s="85"/>
    </row>
    <row r="45" customFormat="false" ht="15" hidden="false" customHeight="false" outlineLevel="0" collapsed="false">
      <c r="A45" s="85"/>
      <c r="B45" s="83"/>
      <c r="C45" s="83"/>
      <c r="D45" s="83"/>
      <c r="E45" s="105"/>
      <c r="F45" s="105"/>
      <c r="G45" s="105"/>
      <c r="H45" s="105"/>
      <c r="I45" s="105"/>
      <c r="J45" s="85"/>
    </row>
    <row r="46" customFormat="false" ht="15" hidden="false" customHeight="false" outlineLevel="0" collapsed="false">
      <c r="A46" s="85"/>
      <c r="B46" s="83"/>
      <c r="C46" s="83"/>
      <c r="D46" s="83"/>
      <c r="E46" s="105"/>
      <c r="F46" s="105"/>
      <c r="G46" s="105"/>
      <c r="H46" s="105"/>
      <c r="I46" s="105"/>
      <c r="J46" s="85"/>
    </row>
    <row r="47" customFormat="false" ht="15" hidden="false" customHeight="false" outlineLevel="0" collapsed="false">
      <c r="A47" s="85"/>
      <c r="B47" s="83"/>
      <c r="C47" s="83"/>
      <c r="D47" s="83"/>
      <c r="E47" s="105"/>
      <c r="F47" s="105"/>
      <c r="G47" s="105"/>
      <c r="H47" s="105"/>
      <c r="I47" s="105"/>
      <c r="J47" s="85"/>
    </row>
    <row r="48" customFormat="false" ht="15" hidden="false" customHeight="false" outlineLevel="0" collapsed="false">
      <c r="A48" s="85"/>
      <c r="B48" s="83"/>
      <c r="C48" s="83"/>
      <c r="D48" s="83"/>
      <c r="E48" s="105"/>
      <c r="F48" s="105"/>
      <c r="G48" s="105"/>
      <c r="H48" s="105"/>
      <c r="I48" s="105"/>
      <c r="J48" s="85"/>
    </row>
    <row r="49" customFormat="false" ht="15" hidden="false" customHeight="false" outlineLevel="0" collapsed="false">
      <c r="A49" s="85"/>
      <c r="B49" s="83"/>
      <c r="C49" s="83"/>
      <c r="D49" s="83"/>
      <c r="E49" s="105"/>
      <c r="F49" s="105"/>
      <c r="G49" s="105"/>
      <c r="H49" s="105"/>
      <c r="I49" s="105"/>
      <c r="J49" s="85"/>
    </row>
    <row r="50" customFormat="false" ht="15" hidden="false" customHeight="false" outlineLevel="0" collapsed="false">
      <c r="A50" s="85"/>
      <c r="B50" s="83"/>
      <c r="C50" s="83"/>
      <c r="D50" s="83"/>
      <c r="E50" s="105"/>
      <c r="F50" s="105"/>
      <c r="G50" s="105"/>
      <c r="H50" s="105"/>
      <c r="I50" s="105"/>
      <c r="J50" s="85"/>
    </row>
    <row r="51" customFormat="false" ht="15" hidden="false" customHeight="false" outlineLevel="0" collapsed="false">
      <c r="A51" s="85"/>
      <c r="B51" s="83"/>
      <c r="C51" s="83"/>
      <c r="D51" s="83"/>
      <c r="E51" s="105"/>
      <c r="F51" s="105"/>
      <c r="G51" s="105"/>
      <c r="H51" s="105"/>
      <c r="I51" s="105"/>
      <c r="J51" s="85"/>
    </row>
    <row r="52" customFormat="false" ht="15" hidden="false" customHeight="false" outlineLevel="0" collapsed="false">
      <c r="A52" s="85"/>
      <c r="B52" s="83"/>
      <c r="C52" s="83"/>
      <c r="D52" s="83"/>
      <c r="E52" s="105"/>
      <c r="F52" s="105"/>
      <c r="G52" s="105"/>
      <c r="H52" s="105"/>
      <c r="I52" s="105"/>
      <c r="J52" s="85"/>
    </row>
    <row r="53" customFormat="false" ht="15" hidden="false" customHeight="false" outlineLevel="0" collapsed="false">
      <c r="A53" s="85"/>
      <c r="B53" s="83"/>
      <c r="C53" s="83"/>
      <c r="D53" s="83"/>
      <c r="E53" s="105"/>
      <c r="F53" s="105"/>
      <c r="G53" s="105"/>
      <c r="H53" s="105"/>
      <c r="I53" s="105"/>
      <c r="J53" s="85"/>
    </row>
    <row r="54" customFormat="false" ht="15" hidden="false" customHeight="false" outlineLevel="0" collapsed="false">
      <c r="A54" s="85"/>
      <c r="B54" s="83"/>
      <c r="C54" s="83"/>
      <c r="D54" s="83"/>
      <c r="E54" s="105"/>
      <c r="F54" s="105"/>
      <c r="G54" s="105"/>
      <c r="H54" s="105"/>
      <c r="I54" s="105"/>
      <c r="J54" s="85"/>
    </row>
    <row r="55" customFormat="false" ht="15" hidden="false" customHeight="false" outlineLevel="0" collapsed="false">
      <c r="A55" s="85"/>
      <c r="B55" s="83"/>
      <c r="C55" s="83"/>
      <c r="D55" s="83"/>
      <c r="E55" s="105"/>
      <c r="F55" s="105"/>
      <c r="G55" s="105"/>
      <c r="H55" s="105"/>
      <c r="I55" s="105"/>
      <c r="J55" s="85"/>
    </row>
    <row r="56" customFormat="false" ht="15" hidden="false" customHeight="false" outlineLevel="0" collapsed="false">
      <c r="A56" s="85"/>
      <c r="B56" s="83"/>
      <c r="C56" s="83"/>
      <c r="D56" s="83"/>
      <c r="E56" s="105"/>
      <c r="F56" s="105"/>
      <c r="G56" s="105"/>
      <c r="H56" s="105"/>
      <c r="I56" s="105"/>
      <c r="J56" s="85"/>
    </row>
    <row r="57" customFormat="false" ht="15" hidden="false" customHeight="false" outlineLevel="0" collapsed="false">
      <c r="A57" s="85"/>
      <c r="B57" s="83"/>
      <c r="C57" s="83"/>
      <c r="D57" s="83"/>
      <c r="E57" s="105"/>
      <c r="F57" s="105"/>
      <c r="G57" s="105"/>
      <c r="H57" s="105"/>
      <c r="I57" s="105"/>
      <c r="J57" s="85"/>
    </row>
    <row r="58" customFormat="false" ht="15" hidden="false" customHeight="false" outlineLevel="0" collapsed="false">
      <c r="A58" s="85"/>
      <c r="B58" s="83"/>
      <c r="C58" s="83"/>
      <c r="D58" s="83"/>
      <c r="E58" s="105"/>
      <c r="F58" s="105"/>
      <c r="G58" s="105"/>
      <c r="H58" s="105"/>
      <c r="I58" s="105"/>
      <c r="J58" s="85"/>
    </row>
    <row r="59" customFormat="false" ht="15" hidden="false" customHeight="false" outlineLevel="0" collapsed="false">
      <c r="A59" s="85"/>
      <c r="B59" s="83"/>
      <c r="C59" s="83"/>
      <c r="D59" s="83"/>
      <c r="E59" s="105"/>
      <c r="F59" s="105"/>
      <c r="G59" s="105"/>
      <c r="H59" s="105"/>
      <c r="I59" s="105"/>
      <c r="J59" s="85"/>
    </row>
    <row r="60" customFormat="false" ht="15" hidden="false" customHeight="false" outlineLevel="0" collapsed="false">
      <c r="A60" s="85"/>
      <c r="B60" s="83"/>
      <c r="C60" s="83"/>
      <c r="D60" s="83"/>
      <c r="E60" s="105"/>
      <c r="F60" s="105"/>
      <c r="G60" s="105"/>
      <c r="H60" s="105"/>
      <c r="I60" s="105"/>
      <c r="J60" s="85"/>
    </row>
    <row r="61" customFormat="false" ht="15" hidden="false" customHeight="false" outlineLevel="0" collapsed="false">
      <c r="A61" s="85"/>
      <c r="B61" s="83"/>
      <c r="C61" s="83"/>
      <c r="D61" s="83"/>
      <c r="E61" s="105"/>
      <c r="F61" s="105"/>
      <c r="G61" s="105"/>
      <c r="H61" s="105"/>
      <c r="I61" s="105"/>
      <c r="J61" s="85"/>
    </row>
    <row r="63" customFormat="false" ht="15" hidden="false" customHeight="false" outlineLevel="0" collapsed="false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6" customFormat="false" ht="18.75" hidden="false" customHeight="true" outlineLevel="0" collapsed="false">
      <c r="C66" s="47"/>
      <c r="D66" s="48" t="s">
        <v>44</v>
      </c>
      <c r="E66" s="48"/>
      <c r="F66" s="48"/>
      <c r="G66" s="48"/>
      <c r="H66" s="48"/>
      <c r="I66" s="48"/>
      <c r="J66" s="48"/>
      <c r="K66" s="49"/>
      <c r="L66" s="49"/>
    </row>
    <row r="67" customFormat="false" ht="15" hidden="false" customHeight="false" outlineLevel="0" collapsed="false">
      <c r="G67" s="36"/>
      <c r="H67" s="36"/>
      <c r="I67" s="36"/>
      <c r="J67" s="36"/>
    </row>
    <row r="68" customFormat="false" ht="15" hidden="false" customHeight="false" outlineLevel="0" collapsed="false">
      <c r="B68" s="50" t="s">
        <v>92</v>
      </c>
      <c r="C68" s="50"/>
      <c r="D68" s="50"/>
      <c r="E68" s="50"/>
      <c r="F68" s="50"/>
      <c r="G68" s="50"/>
      <c r="H68" s="50"/>
      <c r="I68" s="50"/>
      <c r="J68" s="50"/>
      <c r="K68" s="50"/>
    </row>
    <row r="69" customFormat="false" ht="15" hidden="false" customHeight="false" outlineLevel="0" collapsed="false">
      <c r="B69" s="50" t="s">
        <v>46</v>
      </c>
      <c r="C69" s="51" t="n">
        <v>300</v>
      </c>
      <c r="D69" s="50"/>
      <c r="E69" s="52" t="s">
        <v>47</v>
      </c>
      <c r="F69" s="50"/>
      <c r="G69" s="53" t="n">
        <v>50</v>
      </c>
      <c r="H69" s="53"/>
      <c r="I69" s="54" t="s">
        <v>48</v>
      </c>
      <c r="J69" s="54" t="n">
        <v>18</v>
      </c>
    </row>
    <row r="70" customFormat="false" ht="15" hidden="false" customHeight="false" outlineLevel="0" collapsed="false">
      <c r="B70" s="50"/>
      <c r="C70" s="51"/>
      <c r="D70" s="50"/>
      <c r="E70" s="52"/>
      <c r="F70" s="50"/>
      <c r="G70" s="53"/>
      <c r="H70" s="53"/>
      <c r="I70" s="54"/>
      <c r="J70" s="54"/>
    </row>
    <row r="71" customFormat="false" ht="15" hidden="false" customHeight="false" outlineLevel="0" collapsed="false">
      <c r="E71" s="55" t="s">
        <v>49</v>
      </c>
      <c r="F71" s="55"/>
      <c r="G71" s="55"/>
      <c r="H71" s="55"/>
      <c r="I71" s="55"/>
      <c r="J71" s="56"/>
      <c r="K71" s="56"/>
    </row>
    <row r="72" customFormat="false" ht="15" hidden="false" customHeight="false" outlineLevel="0" collapsed="false">
      <c r="A72" s="113" t="s">
        <v>51</v>
      </c>
      <c r="B72" s="114" t="s">
        <v>52</v>
      </c>
      <c r="C72" s="114"/>
      <c r="D72" s="114"/>
      <c r="E72" s="92" t="s">
        <v>53</v>
      </c>
      <c r="F72" s="115" t="s">
        <v>54</v>
      </c>
      <c r="G72" s="11" t="s">
        <v>55</v>
      </c>
      <c r="H72" s="11" t="s">
        <v>56</v>
      </c>
      <c r="I72" s="116" t="s">
        <v>57</v>
      </c>
      <c r="J72" s="92" t="s">
        <v>58</v>
      </c>
      <c r="K72" s="92" t="s">
        <v>59</v>
      </c>
      <c r="L72" s="92" t="s">
        <v>60</v>
      </c>
    </row>
    <row r="73" customFormat="false" ht="15" hidden="false" customHeight="false" outlineLevel="0" collapsed="false">
      <c r="A73" s="117" t="s">
        <v>61</v>
      </c>
      <c r="B73" s="118" t="s">
        <v>62</v>
      </c>
      <c r="C73" s="118"/>
      <c r="D73" s="118"/>
      <c r="E73" s="119" t="n">
        <v>0</v>
      </c>
      <c r="F73" s="119" t="n">
        <v>0</v>
      </c>
      <c r="G73" s="119" t="n">
        <v>190</v>
      </c>
      <c r="H73" s="119" t="n">
        <v>0</v>
      </c>
      <c r="I73" s="119" t="n">
        <v>0</v>
      </c>
      <c r="J73" s="23" t="n">
        <f aca="false">SUM(E73+F73+G73+H73+I73)</f>
        <v>190</v>
      </c>
      <c r="K73" s="120" t="n">
        <v>46056</v>
      </c>
      <c r="L73" s="121" t="s">
        <v>21</v>
      </c>
    </row>
    <row r="74" customFormat="false" ht="15" hidden="false" customHeight="false" outlineLevel="0" collapsed="false">
      <c r="A74" s="117" t="s">
        <v>93</v>
      </c>
      <c r="B74" s="118" t="s">
        <v>94</v>
      </c>
      <c r="C74" s="118"/>
      <c r="D74" s="118"/>
      <c r="E74" s="119" t="n">
        <v>285</v>
      </c>
      <c r="F74" s="119" t="n">
        <v>50</v>
      </c>
      <c r="G74" s="119" t="n">
        <v>0</v>
      </c>
      <c r="H74" s="119" t="n">
        <v>15</v>
      </c>
      <c r="I74" s="119" t="n">
        <v>0</v>
      </c>
      <c r="J74" s="23" t="n">
        <f aca="false">SUM(E74+F74+G74+H74+I74)</f>
        <v>350</v>
      </c>
      <c r="K74" s="120" t="n">
        <v>46056</v>
      </c>
      <c r="L74" s="121" t="s">
        <v>95</v>
      </c>
    </row>
    <row r="75" customFormat="false" ht="15" hidden="false" customHeight="false" outlineLevel="0" collapsed="false">
      <c r="A75" s="117" t="s">
        <v>96</v>
      </c>
      <c r="B75" s="118" t="s">
        <v>97</v>
      </c>
      <c r="C75" s="118"/>
      <c r="D75" s="118"/>
      <c r="E75" s="119" t="n">
        <v>570</v>
      </c>
      <c r="F75" s="119" t="n">
        <v>100</v>
      </c>
      <c r="G75" s="119"/>
      <c r="H75" s="119" t="n">
        <v>30</v>
      </c>
      <c r="I75" s="119"/>
      <c r="J75" s="23" t="n">
        <f aca="false">SUM(E75+F75+G75+H75+I75)</f>
        <v>700</v>
      </c>
      <c r="K75" s="120" t="n">
        <v>46056</v>
      </c>
      <c r="L75" s="121" t="s">
        <v>98</v>
      </c>
    </row>
    <row r="76" customFormat="false" ht="15" hidden="false" customHeight="false" outlineLevel="0" collapsed="false">
      <c r="A76" s="117" t="s">
        <v>99</v>
      </c>
      <c r="B76" s="122" t="s">
        <v>100</v>
      </c>
      <c r="C76" s="123"/>
      <c r="D76" s="124"/>
      <c r="E76" s="119" t="n">
        <v>285</v>
      </c>
      <c r="F76" s="119" t="n">
        <v>50</v>
      </c>
      <c r="G76" s="119"/>
      <c r="H76" s="119" t="n">
        <v>15</v>
      </c>
      <c r="I76" s="119"/>
      <c r="J76" s="23" t="n">
        <f aca="false">SUM(E76+F76+G76+H76+I76)</f>
        <v>350</v>
      </c>
      <c r="K76" s="120" t="n">
        <v>46056</v>
      </c>
      <c r="L76" s="121" t="s">
        <v>95</v>
      </c>
    </row>
    <row r="77" customFormat="false" ht="15" hidden="false" customHeight="false" outlineLevel="0" collapsed="false">
      <c r="A77" s="117" t="s">
        <v>101</v>
      </c>
      <c r="B77" s="122" t="s">
        <v>100</v>
      </c>
      <c r="C77" s="123"/>
      <c r="D77" s="124"/>
      <c r="E77" s="119" t="n">
        <v>285</v>
      </c>
      <c r="F77" s="119" t="n">
        <v>50</v>
      </c>
      <c r="G77" s="119"/>
      <c r="H77" s="119" t="n">
        <v>15</v>
      </c>
      <c r="I77" s="119"/>
      <c r="J77" s="23" t="n">
        <f aca="false">SUM(E77+F77+G77+H77+I77)</f>
        <v>350</v>
      </c>
      <c r="K77" s="120" t="n">
        <v>46063</v>
      </c>
      <c r="L77" s="125" t="s">
        <v>102</v>
      </c>
    </row>
    <row r="78" customFormat="false" ht="15" hidden="false" customHeight="false" outlineLevel="0" collapsed="false">
      <c r="A78" s="117" t="s">
        <v>103</v>
      </c>
      <c r="B78" s="122" t="s">
        <v>104</v>
      </c>
      <c r="C78" s="123"/>
      <c r="D78" s="124"/>
      <c r="E78" s="119" t="n">
        <v>570</v>
      </c>
      <c r="F78" s="119" t="n">
        <v>100</v>
      </c>
      <c r="G78" s="119"/>
      <c r="H78" s="119" t="n">
        <v>30</v>
      </c>
      <c r="I78" s="119"/>
      <c r="J78" s="23" t="n">
        <f aca="false">SUM(E78+F78+G78+H78+I78)</f>
        <v>700</v>
      </c>
      <c r="K78" s="120" t="n">
        <v>46063</v>
      </c>
      <c r="L78" s="121" t="s">
        <v>98</v>
      </c>
    </row>
    <row r="79" customFormat="false" ht="15" hidden="false" customHeight="false" outlineLevel="0" collapsed="false">
      <c r="A79" s="117" t="s">
        <v>105</v>
      </c>
      <c r="B79" s="122" t="s">
        <v>106</v>
      </c>
      <c r="C79" s="123"/>
      <c r="D79" s="124"/>
      <c r="E79" s="119" t="n">
        <v>250</v>
      </c>
      <c r="F79" s="119" t="n">
        <v>50</v>
      </c>
      <c r="G79" s="119"/>
      <c r="H79" s="119" t="n">
        <v>0</v>
      </c>
      <c r="I79" s="119"/>
      <c r="J79" s="23" t="n">
        <f aca="false">SUM(E79+F79+G79+H79+I79)</f>
        <v>300</v>
      </c>
      <c r="K79" s="120" t="n">
        <v>46063</v>
      </c>
      <c r="L79" s="121" t="s">
        <v>107</v>
      </c>
    </row>
    <row r="80" customFormat="false" ht="15" hidden="false" customHeight="false" outlineLevel="0" collapsed="false">
      <c r="A80" s="117" t="s">
        <v>61</v>
      </c>
      <c r="B80" s="122" t="s">
        <v>62</v>
      </c>
      <c r="C80" s="123"/>
      <c r="D80" s="124"/>
      <c r="E80" s="119"/>
      <c r="F80" s="119"/>
      <c r="G80" s="119" t="n">
        <v>250</v>
      </c>
      <c r="H80" s="119"/>
      <c r="I80" s="119"/>
      <c r="J80" s="23" t="n">
        <f aca="false">SUM(E80+F80+G80+H80+I80)</f>
        <v>250</v>
      </c>
      <c r="K80" s="120" t="n">
        <v>46063</v>
      </c>
      <c r="L80" s="121"/>
    </row>
    <row r="81" customFormat="false" ht="15" hidden="false" customHeight="false" outlineLevel="0" collapsed="false">
      <c r="A81" s="117" t="s">
        <v>108</v>
      </c>
      <c r="B81" s="122" t="s">
        <v>109</v>
      </c>
      <c r="C81" s="123"/>
      <c r="D81" s="124"/>
      <c r="E81" s="119" t="n">
        <v>1710</v>
      </c>
      <c r="F81" s="119" t="n">
        <v>300</v>
      </c>
      <c r="G81" s="119"/>
      <c r="H81" s="119" t="n">
        <v>90</v>
      </c>
      <c r="I81" s="119"/>
      <c r="J81" s="23" t="n">
        <f aca="false">SUM(E81+F81+G81+H81+I81)</f>
        <v>2100</v>
      </c>
      <c r="K81" s="120" t="n">
        <v>46063</v>
      </c>
      <c r="L81" s="121" t="s">
        <v>110</v>
      </c>
    </row>
    <row r="82" customFormat="false" ht="15" hidden="false" customHeight="false" outlineLevel="0" collapsed="false">
      <c r="A82" s="117" t="s">
        <v>111</v>
      </c>
      <c r="B82" s="122" t="s">
        <v>112</v>
      </c>
      <c r="C82" s="123"/>
      <c r="D82" s="124"/>
      <c r="E82" s="119" t="n">
        <v>1425</v>
      </c>
      <c r="F82" s="119" t="n">
        <v>250</v>
      </c>
      <c r="G82" s="119"/>
      <c r="H82" s="119" t="n">
        <v>75</v>
      </c>
      <c r="I82" s="119"/>
      <c r="J82" s="23" t="n">
        <f aca="false">SUM(E82+F82+G82+H82+I82)</f>
        <v>1750</v>
      </c>
      <c r="K82" s="120" t="n">
        <v>46058</v>
      </c>
      <c r="L82" s="121" t="s">
        <v>113</v>
      </c>
    </row>
    <row r="83" customFormat="false" ht="15" hidden="false" customHeight="false" outlineLevel="0" collapsed="false">
      <c r="A83" s="117" t="s">
        <v>114</v>
      </c>
      <c r="B83" s="122" t="s">
        <v>115</v>
      </c>
      <c r="C83" s="123"/>
      <c r="D83" s="124"/>
      <c r="E83" s="119" t="n">
        <v>285</v>
      </c>
      <c r="F83" s="119" t="n">
        <v>50</v>
      </c>
      <c r="G83" s="119"/>
      <c r="H83" s="119" t="n">
        <v>15</v>
      </c>
      <c r="I83" s="119"/>
      <c r="J83" s="23" t="n">
        <f aca="false">SUM(E83+F83+G83+H83+I83)</f>
        <v>350</v>
      </c>
      <c r="K83" s="120" t="n">
        <v>46073</v>
      </c>
      <c r="L83" s="121" t="s">
        <v>102</v>
      </c>
      <c r="N83" s="16" t="s">
        <v>116</v>
      </c>
      <c r="O83" s="6" t="n">
        <v>350</v>
      </c>
      <c r="P83" s="126" t="n">
        <v>400</v>
      </c>
    </row>
    <row r="84" customFormat="false" ht="15" hidden="false" customHeight="false" outlineLevel="0" collapsed="false">
      <c r="A84" s="117" t="s">
        <v>117</v>
      </c>
      <c r="B84" s="122" t="s">
        <v>118</v>
      </c>
      <c r="C84" s="123"/>
      <c r="D84" s="124"/>
      <c r="E84" s="119" t="n">
        <v>820</v>
      </c>
      <c r="F84" s="119" t="n">
        <v>150</v>
      </c>
      <c r="G84" s="119"/>
      <c r="H84" s="119" t="n">
        <v>30</v>
      </c>
      <c r="I84" s="119"/>
      <c r="J84" s="23" t="n">
        <f aca="false">SUM(E84+F84+G84+H84+I84)</f>
        <v>1000</v>
      </c>
      <c r="K84" s="120" t="n">
        <v>46076</v>
      </c>
      <c r="L84" s="127" t="s">
        <v>119</v>
      </c>
      <c r="N84" s="6" t="n">
        <v>1</v>
      </c>
      <c r="O84" s="6" t="n">
        <v>285</v>
      </c>
      <c r="P84" s="18" t="n">
        <v>335</v>
      </c>
    </row>
    <row r="85" customFormat="false" ht="15" hidden="false" customHeight="false" outlineLevel="0" collapsed="false">
      <c r="A85" s="117" t="s">
        <v>120</v>
      </c>
      <c r="B85" s="122" t="s">
        <v>121</v>
      </c>
      <c r="C85" s="123"/>
      <c r="D85" s="124"/>
      <c r="E85" s="119" t="n">
        <v>570</v>
      </c>
      <c r="F85" s="119" t="n">
        <v>100</v>
      </c>
      <c r="G85" s="119"/>
      <c r="H85" s="119" t="n">
        <v>30</v>
      </c>
      <c r="I85" s="119"/>
      <c r="J85" s="23" t="n">
        <f aca="false">SUM(E85+F85+G85+H85+I85)</f>
        <v>700</v>
      </c>
      <c r="K85" s="120" t="n">
        <v>46076</v>
      </c>
      <c r="L85" s="121" t="s">
        <v>122</v>
      </c>
      <c r="N85" s="6" t="n">
        <v>2</v>
      </c>
      <c r="O85" s="6" t="n">
        <f aca="false">285*2</f>
        <v>570</v>
      </c>
      <c r="P85" s="18" t="n">
        <f aca="false">2*P84</f>
        <v>670</v>
      </c>
    </row>
    <row r="86" customFormat="false" ht="15" hidden="false" customHeight="false" outlineLevel="0" collapsed="false">
      <c r="A86" s="117" t="s">
        <v>123</v>
      </c>
      <c r="B86" s="118" t="s">
        <v>124</v>
      </c>
      <c r="C86" s="118"/>
      <c r="D86" s="118"/>
      <c r="E86" s="119" t="n">
        <v>535</v>
      </c>
      <c r="F86" s="119" t="n">
        <v>100</v>
      </c>
      <c r="G86" s="119"/>
      <c r="H86" s="119" t="n">
        <v>15</v>
      </c>
      <c r="I86" s="119"/>
      <c r="J86" s="23" t="n">
        <f aca="false">SUM(E86+F86+G86+H86+I86)</f>
        <v>650</v>
      </c>
      <c r="K86" s="120" t="n">
        <v>46077</v>
      </c>
      <c r="L86" s="121" t="s">
        <v>125</v>
      </c>
      <c r="N86" s="6" t="n">
        <v>3</v>
      </c>
      <c r="O86" s="6" t="n">
        <f aca="false">285*3</f>
        <v>855</v>
      </c>
      <c r="P86" s="18" t="n">
        <f aca="false">3*P84</f>
        <v>1005</v>
      </c>
    </row>
    <row r="87" customFormat="false" ht="15" hidden="false" customHeight="false" outlineLevel="0" collapsed="false">
      <c r="A87" s="117" t="s">
        <v>126</v>
      </c>
      <c r="B87" s="118" t="s">
        <v>127</v>
      </c>
      <c r="C87" s="118"/>
      <c r="D87" s="118"/>
      <c r="E87" s="119" t="n">
        <v>1675</v>
      </c>
      <c r="F87" s="119" t="n">
        <v>250</v>
      </c>
      <c r="G87" s="119"/>
      <c r="H87" s="119" t="n">
        <v>75</v>
      </c>
      <c r="I87" s="119"/>
      <c r="J87" s="23" t="n">
        <f aca="false">SUM(E87+F87+G87+H87+I87)</f>
        <v>2000</v>
      </c>
      <c r="K87" s="120" t="n">
        <v>46079</v>
      </c>
      <c r="L87" s="127" t="s">
        <v>128</v>
      </c>
      <c r="N87" s="6" t="n">
        <v>4</v>
      </c>
      <c r="O87" s="6" t="n">
        <f aca="false">285*4</f>
        <v>1140</v>
      </c>
      <c r="P87" s="18" t="n">
        <f aca="false">4*P84</f>
        <v>1340</v>
      </c>
    </row>
    <row r="88" customFormat="false" ht="15" hidden="false" customHeight="false" outlineLevel="0" collapsed="false">
      <c r="A88" s="117" t="s">
        <v>129</v>
      </c>
      <c r="B88" s="118" t="s">
        <v>130</v>
      </c>
      <c r="C88" s="118"/>
      <c r="D88" s="118"/>
      <c r="E88" s="119" t="n">
        <v>285</v>
      </c>
      <c r="F88" s="119" t="n">
        <v>50</v>
      </c>
      <c r="G88" s="119" t="n">
        <v>0</v>
      </c>
      <c r="H88" s="119" t="n">
        <v>15</v>
      </c>
      <c r="I88" s="119" t="n">
        <v>0</v>
      </c>
      <c r="J88" s="23" t="n">
        <f aca="false">SUM(E88+F88+G88+H88+I88)</f>
        <v>350</v>
      </c>
      <c r="K88" s="120" t="s">
        <v>131</v>
      </c>
      <c r="L88" s="127" t="s">
        <v>132</v>
      </c>
      <c r="N88" s="6" t="n">
        <v>5</v>
      </c>
      <c r="O88" s="6" t="n">
        <f aca="false">285*5</f>
        <v>1425</v>
      </c>
      <c r="P88" s="128" t="n">
        <f aca="false">5*P84</f>
        <v>1675</v>
      </c>
    </row>
    <row r="89" customFormat="false" ht="15" hidden="false" customHeight="false" outlineLevel="0" collapsed="false">
      <c r="A89" s="117"/>
      <c r="B89" s="118"/>
      <c r="C89" s="118"/>
      <c r="D89" s="118"/>
      <c r="E89" s="106" t="n">
        <f aca="false">SUM(E73:E88)</f>
        <v>9550</v>
      </c>
      <c r="F89" s="106" t="n">
        <f aca="false">SUM(F73:F88)</f>
        <v>1650</v>
      </c>
      <c r="G89" s="106" t="n">
        <f aca="false">SUM(G73:G88)</f>
        <v>440</v>
      </c>
      <c r="H89" s="106" t="n">
        <f aca="false">SUM(H73:H88)</f>
        <v>450</v>
      </c>
      <c r="I89" s="106" t="n">
        <f aca="false">SUM(I73:I88)</f>
        <v>0</v>
      </c>
      <c r="J89" s="23" t="n">
        <f aca="false">SUM(E89+F89+G89+H89+I89)</f>
        <v>12090</v>
      </c>
      <c r="K89" s="6"/>
      <c r="L89" s="121"/>
      <c r="N89" s="6" t="n">
        <v>6</v>
      </c>
      <c r="O89" s="6" t="n">
        <f aca="false">285*6</f>
        <v>1710</v>
      </c>
      <c r="P89" s="128" t="n">
        <f aca="false">6*P84</f>
        <v>2010</v>
      </c>
    </row>
    <row r="90" customFormat="false" ht="15" hidden="false" customHeight="false" outlineLevel="0" collapsed="false">
      <c r="A90" s="77"/>
      <c r="B90" s="78"/>
      <c r="C90" s="78"/>
      <c r="D90" s="78"/>
      <c r="E90" s="79"/>
      <c r="F90" s="79"/>
      <c r="G90" s="80"/>
      <c r="H90" s="80"/>
      <c r="I90" s="80"/>
      <c r="J90" s="81"/>
      <c r="N90" s="1" t="s">
        <v>21</v>
      </c>
    </row>
    <row r="91" customFormat="false" ht="15" hidden="false" customHeight="false" outlineLevel="0" collapsed="false">
      <c r="A91" s="82"/>
      <c r="B91" s="83"/>
      <c r="C91" s="83"/>
      <c r="D91" s="83"/>
      <c r="E91" s="80"/>
      <c r="F91" s="80"/>
      <c r="G91" s="84"/>
      <c r="H91" s="84"/>
      <c r="I91" s="84"/>
      <c r="J91" s="85"/>
    </row>
    <row r="92" customFormat="false" ht="15" hidden="false" customHeight="false" outlineLevel="0" collapsed="false">
      <c r="C92" s="55" t="s">
        <v>75</v>
      </c>
      <c r="D92" s="55"/>
      <c r="E92" s="55"/>
      <c r="F92" s="55"/>
      <c r="G92" s="55"/>
      <c r="H92" s="55"/>
      <c r="I92" s="55"/>
    </row>
    <row r="93" customFormat="false" ht="15" hidden="false" customHeight="true" outlineLevel="0" collapsed="false">
      <c r="A93" s="86" t="s">
        <v>76</v>
      </c>
      <c r="B93" s="87" t="s">
        <v>77</v>
      </c>
      <c r="C93" s="87"/>
      <c r="D93" s="87"/>
      <c r="E93" s="88" t="s">
        <v>78</v>
      </c>
      <c r="F93" s="88"/>
      <c r="G93" s="88"/>
      <c r="H93" s="88"/>
      <c r="I93" s="88"/>
      <c r="J93" s="88"/>
      <c r="K93" s="86" t="s">
        <v>59</v>
      </c>
      <c r="L93" s="89" t="s">
        <v>79</v>
      </c>
    </row>
    <row r="94" customFormat="false" ht="15" hidden="false" customHeight="false" outlineLevel="0" collapsed="false">
      <c r="A94" s="86"/>
      <c r="B94" s="87"/>
      <c r="C94" s="87"/>
      <c r="D94" s="87"/>
      <c r="E94" s="16" t="s">
        <v>53</v>
      </c>
      <c r="F94" s="16" t="s">
        <v>80</v>
      </c>
      <c r="G94" s="90" t="s">
        <v>81</v>
      </c>
      <c r="H94" s="91" t="s">
        <v>56</v>
      </c>
      <c r="I94" s="90" t="s">
        <v>82</v>
      </c>
      <c r="J94" s="92" t="s">
        <v>58</v>
      </c>
      <c r="K94" s="86"/>
      <c r="L94" s="89"/>
    </row>
    <row r="95" customFormat="false" ht="15" hidden="false" customHeight="false" outlineLevel="0" collapsed="false">
      <c r="A95" s="93" t="n">
        <v>1</v>
      </c>
      <c r="B95" s="129" t="s">
        <v>133</v>
      </c>
      <c r="C95" s="129"/>
      <c r="D95" s="129"/>
      <c r="E95" s="102" t="n">
        <v>160</v>
      </c>
      <c r="F95" s="102"/>
      <c r="G95" s="102"/>
      <c r="H95" s="103"/>
      <c r="I95" s="104"/>
      <c r="J95" s="18" t="n">
        <f aca="false">E95+F95+G95+H95+I95</f>
        <v>160</v>
      </c>
      <c r="K95" s="130" t="s">
        <v>21</v>
      </c>
      <c r="L95" s="131" t="s">
        <v>21</v>
      </c>
    </row>
    <row r="96" customFormat="false" ht="15" hidden="false" customHeight="false" outlineLevel="0" collapsed="false">
      <c r="A96" s="93" t="n">
        <v>2</v>
      </c>
      <c r="B96" s="129" t="s">
        <v>134</v>
      </c>
      <c r="C96" s="129"/>
      <c r="D96" s="129"/>
      <c r="E96" s="102" t="n">
        <v>4584</v>
      </c>
      <c r="F96" s="102"/>
      <c r="G96" s="102"/>
      <c r="H96" s="103"/>
      <c r="I96" s="104"/>
      <c r="J96" s="6"/>
      <c r="K96" s="6"/>
      <c r="L96" s="132" t="s">
        <v>21</v>
      </c>
    </row>
    <row r="97" customFormat="false" ht="15" hidden="false" customHeight="false" outlineLevel="0" collapsed="false">
      <c r="A97" s="93" t="n">
        <v>3</v>
      </c>
      <c r="B97" s="129" t="s">
        <v>135</v>
      </c>
      <c r="C97" s="129"/>
      <c r="D97" s="129"/>
      <c r="E97" s="102" t="n">
        <v>100</v>
      </c>
      <c r="F97" s="102"/>
      <c r="G97" s="102"/>
      <c r="H97" s="103"/>
      <c r="I97" s="104"/>
      <c r="J97" s="6"/>
      <c r="K97" s="6"/>
      <c r="L97" s="132"/>
    </row>
    <row r="98" customFormat="false" ht="15" hidden="false" customHeight="false" outlineLevel="0" collapsed="false">
      <c r="A98" s="93"/>
      <c r="B98" s="101"/>
      <c r="C98" s="101"/>
      <c r="D98" s="101"/>
      <c r="E98" s="102" t="s">
        <v>21</v>
      </c>
      <c r="F98" s="102"/>
      <c r="G98" s="102"/>
      <c r="H98" s="103"/>
      <c r="I98" s="104"/>
      <c r="J98" s="6"/>
      <c r="K98" s="6"/>
      <c r="L98" s="132"/>
    </row>
    <row r="99" customFormat="false" ht="15" hidden="false" customHeight="false" outlineLevel="0" collapsed="false">
      <c r="A99" s="93"/>
      <c r="B99" s="101"/>
      <c r="C99" s="101"/>
      <c r="D99" s="101"/>
      <c r="E99" s="102" t="s">
        <v>21</v>
      </c>
      <c r="F99" s="102"/>
      <c r="G99" s="18"/>
      <c r="H99" s="104"/>
      <c r="I99" s="104"/>
      <c r="J99" s="6"/>
      <c r="K99" s="6"/>
      <c r="L99" s="132"/>
    </row>
    <row r="100" customFormat="false" ht="15" hidden="false" customHeight="false" outlineLevel="0" collapsed="false">
      <c r="A100" s="6"/>
      <c r="B100" s="101"/>
      <c r="C100" s="101"/>
      <c r="D100" s="101"/>
      <c r="E100" s="22" t="n">
        <f aca="false">SUM(E95:E99)</f>
        <v>4844</v>
      </c>
      <c r="F100" s="22" t="n">
        <f aca="false">SUM(F95:F99)</f>
        <v>0</v>
      </c>
      <c r="G100" s="22" t="n">
        <f aca="false">SUM(G95:G99)</f>
        <v>0</v>
      </c>
      <c r="H100" s="22" t="n">
        <f aca="false">SUM(H95:H99)</f>
        <v>0</v>
      </c>
      <c r="I100" s="22" t="n">
        <f aca="false">SUM(I95:I99)</f>
        <v>0</v>
      </c>
      <c r="J100" s="22" t="n">
        <f aca="false">E100+F100+G100+H100+I100</f>
        <v>4844</v>
      </c>
      <c r="K100" s="6"/>
      <c r="L100" s="132"/>
    </row>
    <row r="101" customFormat="false" ht="15" hidden="false" customHeight="false" outlineLevel="0" collapsed="false">
      <c r="A101" s="85"/>
      <c r="B101" s="78"/>
      <c r="C101" s="78"/>
      <c r="D101" s="78"/>
      <c r="E101" s="105"/>
      <c r="F101" s="105"/>
      <c r="G101" s="105"/>
      <c r="H101" s="105"/>
      <c r="I101" s="105"/>
      <c r="J101" s="85"/>
    </row>
    <row r="102" customFormat="false" ht="15" hidden="false" customHeight="false" outlineLevel="0" collapsed="false">
      <c r="A102" s="85"/>
      <c r="B102" s="83"/>
      <c r="C102" s="83"/>
      <c r="D102" s="83"/>
      <c r="E102" s="105"/>
      <c r="F102" s="105"/>
      <c r="G102" s="105"/>
      <c r="H102" s="106" t="s">
        <v>85</v>
      </c>
      <c r="I102" s="106"/>
      <c r="J102" s="23" t="n">
        <f aca="false">J89-J100</f>
        <v>7246</v>
      </c>
    </row>
    <row r="103" customFormat="false" ht="15" hidden="false" customHeight="false" outlineLevel="0" collapsed="false">
      <c r="A103" s="85"/>
      <c r="B103" s="83"/>
      <c r="C103" s="83"/>
      <c r="D103" s="83"/>
      <c r="E103" s="105"/>
      <c r="F103" s="105"/>
      <c r="G103" s="105"/>
      <c r="H103" s="105"/>
      <c r="I103" s="105"/>
      <c r="J103" s="85"/>
    </row>
    <row r="104" customFormat="false" ht="15" hidden="false" customHeight="false" outlineLevel="0" collapsed="false">
      <c r="A104" s="85"/>
      <c r="B104" s="36" t="s">
        <v>86</v>
      </c>
      <c r="C104" s="36"/>
      <c r="D104" s="107"/>
      <c r="E104" s="36" t="s">
        <v>87</v>
      </c>
      <c r="F104" s="36"/>
      <c r="G104" s="36"/>
      <c r="H104" s="54"/>
      <c r="I104" s="107"/>
      <c r="J104" s="36" t="s">
        <v>88</v>
      </c>
      <c r="K104" s="36"/>
    </row>
    <row r="105" customFormat="false" ht="15" hidden="false" customHeight="false" outlineLevel="0" collapsed="false">
      <c r="A105" s="85"/>
      <c r="C105" s="107"/>
      <c r="D105" s="107"/>
      <c r="E105" s="107"/>
      <c r="F105" s="107"/>
      <c r="G105" s="107"/>
      <c r="H105" s="107"/>
      <c r="I105" s="107"/>
    </row>
    <row r="106" customFormat="false" ht="15" hidden="false" customHeight="false" outlineLevel="0" collapsed="false">
      <c r="A106" s="85"/>
      <c r="B106" s="108" t="s">
        <v>17</v>
      </c>
      <c r="C106" s="108"/>
      <c r="D106" s="108"/>
      <c r="E106" s="109" t="s">
        <v>22</v>
      </c>
      <c r="F106" s="109"/>
      <c r="G106" s="109"/>
      <c r="H106" s="110"/>
      <c r="J106" s="111" t="s">
        <v>19</v>
      </c>
      <c r="K106" s="111"/>
      <c r="L106" s="111"/>
    </row>
    <row r="107" customFormat="false" ht="15" hidden="false" customHeight="false" outlineLevel="0" collapsed="false">
      <c r="A107" s="85"/>
      <c r="B107" s="36" t="s">
        <v>89</v>
      </c>
      <c r="C107" s="36"/>
      <c r="D107" s="107"/>
      <c r="E107" s="36" t="s">
        <v>90</v>
      </c>
      <c r="F107" s="36"/>
      <c r="G107" s="36"/>
      <c r="H107" s="54"/>
      <c r="J107" s="36" t="s">
        <v>91</v>
      </c>
      <c r="K107" s="36"/>
    </row>
    <row r="108" customFormat="false" ht="15" hidden="false" customHeight="false" outlineLevel="0" collapsed="false">
      <c r="A108" s="85"/>
      <c r="B108" s="83"/>
      <c r="C108" s="83"/>
      <c r="D108" s="83"/>
      <c r="E108" s="105"/>
      <c r="F108" s="105"/>
      <c r="G108" s="105"/>
      <c r="H108" s="105"/>
      <c r="I108" s="105"/>
      <c r="J108" s="85"/>
    </row>
    <row r="109" customFormat="false" ht="15" hidden="false" customHeight="false" outlineLevel="0" collapsed="false">
      <c r="A109" s="85"/>
      <c r="B109" s="83"/>
      <c r="C109" s="83"/>
      <c r="D109" s="83"/>
      <c r="E109" s="105"/>
      <c r="F109" s="105"/>
      <c r="G109" s="105"/>
      <c r="H109" s="105"/>
      <c r="I109" s="105"/>
      <c r="J109" s="85"/>
    </row>
    <row r="110" customFormat="false" ht="15" hidden="false" customHeight="false" outlineLevel="0" collapsed="false">
      <c r="A110" s="85"/>
      <c r="B110" s="83"/>
      <c r="C110" s="83"/>
      <c r="D110" s="83"/>
      <c r="E110" s="105"/>
      <c r="F110" s="105"/>
      <c r="G110" s="105"/>
      <c r="H110" s="105"/>
      <c r="I110" s="105"/>
      <c r="J110" s="85"/>
    </row>
    <row r="111" customFormat="false" ht="15" hidden="false" customHeight="false" outlineLevel="0" collapsed="false">
      <c r="A111" s="85"/>
      <c r="B111" s="83"/>
      <c r="C111" s="83"/>
      <c r="D111" s="83"/>
      <c r="E111" s="105"/>
      <c r="F111" s="105"/>
      <c r="G111" s="105"/>
      <c r="H111" s="105"/>
      <c r="I111" s="105"/>
      <c r="J111" s="85"/>
    </row>
    <row r="112" customFormat="false" ht="15" hidden="false" customHeight="false" outlineLevel="0" collapsed="false">
      <c r="A112" s="85"/>
      <c r="B112" s="83"/>
      <c r="C112" s="83"/>
      <c r="D112" s="83"/>
      <c r="E112" s="105"/>
      <c r="F112" s="105"/>
      <c r="G112" s="105"/>
      <c r="H112" s="105"/>
      <c r="I112" s="105"/>
      <c r="J112" s="85"/>
    </row>
    <row r="113" customFormat="false" ht="15" hidden="false" customHeight="false" outlineLevel="0" collapsed="false">
      <c r="A113" s="85"/>
      <c r="B113" s="83"/>
      <c r="C113" s="83"/>
      <c r="D113" s="83"/>
      <c r="E113" s="105"/>
      <c r="F113" s="105"/>
      <c r="G113" s="105"/>
      <c r="H113" s="105"/>
      <c r="I113" s="105"/>
      <c r="J113" s="85"/>
    </row>
    <row r="114" customFormat="false" ht="15" hidden="false" customHeight="false" outlineLevel="0" collapsed="false">
      <c r="A114" s="85"/>
      <c r="B114" s="83"/>
      <c r="C114" s="83"/>
      <c r="D114" s="83"/>
      <c r="E114" s="105"/>
      <c r="F114" s="105"/>
      <c r="G114" s="105"/>
      <c r="H114" s="105"/>
      <c r="I114" s="105"/>
      <c r="J114" s="85"/>
    </row>
    <row r="115" customFormat="false" ht="15" hidden="false" customHeight="false" outlineLevel="0" collapsed="false">
      <c r="A115" s="85"/>
      <c r="B115" s="83"/>
      <c r="C115" s="83"/>
      <c r="D115" s="83"/>
      <c r="E115" s="105"/>
      <c r="F115" s="105"/>
      <c r="G115" s="105"/>
      <c r="H115" s="105"/>
      <c r="I115" s="105"/>
      <c r="J115" s="85"/>
    </row>
    <row r="116" customFormat="false" ht="15" hidden="false" customHeight="false" outlineLevel="0" collapsed="false">
      <c r="A116" s="85"/>
      <c r="B116" s="83"/>
      <c r="C116" s="83"/>
      <c r="D116" s="83"/>
      <c r="E116" s="105"/>
      <c r="F116" s="105"/>
      <c r="G116" s="105"/>
      <c r="H116" s="105"/>
      <c r="I116" s="105"/>
      <c r="J116" s="85"/>
    </row>
    <row r="117" customFormat="false" ht="15" hidden="false" customHeight="false" outlineLevel="0" collapsed="false">
      <c r="A117" s="85"/>
      <c r="B117" s="83"/>
      <c r="C117" s="83"/>
      <c r="D117" s="83"/>
      <c r="E117" s="105"/>
      <c r="F117" s="105"/>
      <c r="G117" s="105"/>
      <c r="H117" s="105"/>
      <c r="I117" s="105"/>
      <c r="J117" s="85"/>
    </row>
    <row r="118" customFormat="false" ht="15" hidden="false" customHeight="false" outlineLevel="0" collapsed="false">
      <c r="A118" s="85"/>
      <c r="B118" s="83"/>
      <c r="C118" s="83"/>
      <c r="D118" s="83"/>
      <c r="E118" s="105"/>
      <c r="F118" s="105"/>
      <c r="G118" s="105"/>
      <c r="H118" s="105"/>
      <c r="I118" s="105"/>
      <c r="J118" s="85"/>
    </row>
    <row r="119" customFormat="false" ht="15" hidden="false" customHeight="false" outlineLevel="0" collapsed="false">
      <c r="A119" s="85"/>
      <c r="B119" s="83"/>
      <c r="C119" s="83"/>
      <c r="D119" s="83"/>
      <c r="E119" s="105"/>
      <c r="F119" s="105"/>
      <c r="G119" s="105"/>
      <c r="H119" s="105"/>
      <c r="I119" s="105"/>
      <c r="J119" s="85"/>
    </row>
    <row r="120" customFormat="false" ht="15" hidden="false" customHeight="false" outlineLevel="0" collapsed="false">
      <c r="A120" s="85"/>
      <c r="B120" s="83"/>
      <c r="C120" s="83"/>
      <c r="D120" s="83"/>
      <c r="E120" s="105"/>
      <c r="F120" s="105"/>
      <c r="G120" s="105"/>
      <c r="H120" s="105"/>
      <c r="I120" s="105"/>
      <c r="J120" s="85"/>
    </row>
    <row r="121" customFormat="false" ht="15" hidden="false" customHeight="false" outlineLevel="0" collapsed="false">
      <c r="A121" s="85"/>
      <c r="B121" s="83"/>
      <c r="C121" s="83"/>
      <c r="D121" s="83"/>
      <c r="E121" s="105"/>
      <c r="F121" s="105"/>
      <c r="G121" s="105"/>
      <c r="H121" s="105"/>
      <c r="I121" s="105"/>
      <c r="J121" s="85"/>
    </row>
    <row r="131" customFormat="false" ht="15" hidden="false" customHeight="false" outlineLevel="0" collapsed="false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customFormat="false" ht="18.75" hidden="false" customHeight="true" outlineLevel="0" collapsed="false">
      <c r="C132" s="47"/>
      <c r="D132" s="48" t="s">
        <v>44</v>
      </c>
      <c r="E132" s="48"/>
      <c r="F132" s="48"/>
      <c r="G132" s="48"/>
      <c r="H132" s="48"/>
      <c r="I132" s="48"/>
      <c r="J132" s="48"/>
      <c r="K132" s="49"/>
      <c r="L132" s="49"/>
    </row>
    <row r="133" customFormat="false" ht="15" hidden="false" customHeight="false" outlineLevel="0" collapsed="false">
      <c r="G133" s="36"/>
      <c r="H133" s="36"/>
      <c r="I133" s="36"/>
      <c r="J133" s="36"/>
    </row>
    <row r="134" customFormat="false" ht="15" hidden="false" customHeight="false" outlineLevel="0" collapsed="false">
      <c r="B134" s="50" t="s">
        <v>136</v>
      </c>
      <c r="C134" s="50"/>
      <c r="D134" s="50"/>
      <c r="E134" s="50"/>
      <c r="F134" s="50"/>
      <c r="G134" s="50"/>
      <c r="H134" s="50"/>
      <c r="I134" s="50"/>
      <c r="J134" s="50"/>
      <c r="K134" s="50"/>
    </row>
    <row r="135" customFormat="false" ht="15" hidden="false" customHeight="false" outlineLevel="0" collapsed="false">
      <c r="B135" s="50" t="s">
        <v>46</v>
      </c>
      <c r="C135" s="51" t="n">
        <v>300</v>
      </c>
      <c r="D135" s="50"/>
      <c r="E135" s="52" t="s">
        <v>47</v>
      </c>
      <c r="F135" s="50"/>
      <c r="G135" s="53" t="n">
        <v>50</v>
      </c>
      <c r="H135" s="53"/>
      <c r="I135" s="54" t="s">
        <v>48</v>
      </c>
      <c r="J135" s="54" t="n">
        <v>17</v>
      </c>
    </row>
    <row r="136" customFormat="false" ht="15" hidden="false" customHeight="false" outlineLevel="0" collapsed="false">
      <c r="B136" s="50"/>
      <c r="C136" s="51"/>
      <c r="D136" s="50"/>
      <c r="E136" s="52"/>
      <c r="F136" s="50"/>
      <c r="G136" s="53"/>
      <c r="H136" s="53"/>
      <c r="I136" s="54"/>
      <c r="J136" s="54"/>
    </row>
    <row r="137" customFormat="false" ht="15" hidden="false" customHeight="false" outlineLevel="0" collapsed="false">
      <c r="E137" s="55" t="s">
        <v>49</v>
      </c>
      <c r="F137" s="55"/>
      <c r="G137" s="55"/>
      <c r="H137" s="55"/>
      <c r="I137" s="55"/>
      <c r="J137" s="56"/>
      <c r="K137" s="56"/>
    </row>
    <row r="138" customFormat="false" ht="15" hidden="false" customHeight="false" outlineLevel="0" collapsed="false">
      <c r="A138" s="57" t="s">
        <v>51</v>
      </c>
      <c r="B138" s="58" t="s">
        <v>52</v>
      </c>
      <c r="C138" s="58"/>
      <c r="D138" s="58"/>
      <c r="E138" s="59" t="s">
        <v>53</v>
      </c>
      <c r="F138" s="60" t="s">
        <v>54</v>
      </c>
      <c r="G138" s="61" t="s">
        <v>55</v>
      </c>
      <c r="H138" s="61" t="s">
        <v>56</v>
      </c>
      <c r="I138" s="62" t="s">
        <v>57</v>
      </c>
      <c r="J138" s="59" t="s">
        <v>58</v>
      </c>
      <c r="K138" s="59" t="s">
        <v>59</v>
      </c>
      <c r="L138" s="59" t="s">
        <v>60</v>
      </c>
    </row>
    <row r="139" customFormat="false" ht="15" hidden="false" customHeight="false" outlineLevel="0" collapsed="false">
      <c r="A139" s="133" t="s">
        <v>137</v>
      </c>
      <c r="B139" s="70" t="s">
        <v>138</v>
      </c>
      <c r="C139" s="134"/>
      <c r="D139" s="135"/>
      <c r="E139" s="136" t="n">
        <v>905</v>
      </c>
      <c r="F139" s="137" t="n">
        <v>150</v>
      </c>
      <c r="G139" s="138"/>
      <c r="H139" s="138" t="n">
        <v>45</v>
      </c>
      <c r="I139" s="139"/>
      <c r="J139" s="67" t="n">
        <f aca="false">SUM(E139+F139+G139+H139+I139)</f>
        <v>1100</v>
      </c>
      <c r="K139" s="59"/>
      <c r="L139" s="140" t="s">
        <v>139</v>
      </c>
    </row>
    <row r="140" customFormat="false" ht="15" hidden="false" customHeight="false" outlineLevel="0" collapsed="false">
      <c r="A140" s="63" t="s">
        <v>140</v>
      </c>
      <c r="B140" s="64" t="s">
        <v>141</v>
      </c>
      <c r="C140" s="64"/>
      <c r="D140" s="64"/>
      <c r="E140" s="141" t="n">
        <v>855</v>
      </c>
      <c r="F140" s="141" t="n">
        <v>150</v>
      </c>
      <c r="G140" s="141" t="n">
        <v>0</v>
      </c>
      <c r="H140" s="141" t="n">
        <v>45</v>
      </c>
      <c r="I140" s="141" t="n">
        <v>0</v>
      </c>
      <c r="J140" s="67" t="n">
        <f aca="false">SUM(E140+F140+G140+H140+I140)</f>
        <v>1050</v>
      </c>
      <c r="K140" s="68" t="n">
        <v>46079</v>
      </c>
      <c r="L140" s="69" t="s">
        <v>142</v>
      </c>
    </row>
    <row r="141" customFormat="false" ht="15" hidden="false" customHeight="false" outlineLevel="0" collapsed="false">
      <c r="A141" s="63" t="s">
        <v>143</v>
      </c>
      <c r="B141" s="64" t="s">
        <v>144</v>
      </c>
      <c r="C141" s="64"/>
      <c r="D141" s="64"/>
      <c r="E141" s="141" t="n">
        <v>285</v>
      </c>
      <c r="F141" s="141" t="n">
        <v>50</v>
      </c>
      <c r="G141" s="141" t="n">
        <v>0</v>
      </c>
      <c r="H141" s="141" t="n">
        <v>15</v>
      </c>
      <c r="I141" s="141" t="n">
        <v>0</v>
      </c>
      <c r="J141" s="67" t="n">
        <f aca="false">SUM(E141+F141+G141+H141+I141)</f>
        <v>350</v>
      </c>
      <c r="K141" s="68" t="n">
        <v>46084</v>
      </c>
      <c r="L141" s="74" t="s">
        <v>145</v>
      </c>
    </row>
    <row r="142" customFormat="false" ht="15" hidden="false" customHeight="false" outlineLevel="0" collapsed="false">
      <c r="A142" s="63" t="s">
        <v>146</v>
      </c>
      <c r="B142" s="64" t="s">
        <v>115</v>
      </c>
      <c r="C142" s="64"/>
      <c r="D142" s="64"/>
      <c r="E142" s="141" t="n">
        <v>285</v>
      </c>
      <c r="F142" s="141" t="n">
        <v>50</v>
      </c>
      <c r="G142" s="141"/>
      <c r="H142" s="141" t="n">
        <v>15</v>
      </c>
      <c r="I142" s="141"/>
      <c r="J142" s="67" t="n">
        <f aca="false">SUM(E142+F142+G142+H142+I142)</f>
        <v>350</v>
      </c>
      <c r="K142" s="68" t="n">
        <v>46084</v>
      </c>
      <c r="L142" s="74" t="s">
        <v>145</v>
      </c>
      <c r="N142" s="1" t="s">
        <v>147</v>
      </c>
    </row>
    <row r="143" customFormat="false" ht="15" hidden="false" customHeight="false" outlineLevel="0" collapsed="false">
      <c r="A143" s="63" t="s">
        <v>148</v>
      </c>
      <c r="B143" s="70" t="s">
        <v>124</v>
      </c>
      <c r="C143" s="71"/>
      <c r="D143" s="72"/>
      <c r="E143" s="141" t="n">
        <v>285</v>
      </c>
      <c r="F143" s="141" t="n">
        <v>50</v>
      </c>
      <c r="G143" s="141"/>
      <c r="H143" s="141" t="n">
        <v>15</v>
      </c>
      <c r="I143" s="141"/>
      <c r="J143" s="67" t="n">
        <f aca="false">SUM(E143+F143+G143+H143+I143)</f>
        <v>350</v>
      </c>
      <c r="K143" s="68" t="n">
        <v>46084</v>
      </c>
      <c r="L143" s="74" t="s">
        <v>149</v>
      </c>
    </row>
    <row r="144" customFormat="false" ht="15" hidden="false" customHeight="false" outlineLevel="0" collapsed="false">
      <c r="A144" s="63" t="s">
        <v>150</v>
      </c>
      <c r="B144" s="70" t="s">
        <v>106</v>
      </c>
      <c r="C144" s="71"/>
      <c r="D144" s="72"/>
      <c r="E144" s="141" t="n">
        <v>307</v>
      </c>
      <c r="F144" s="141" t="n">
        <v>50</v>
      </c>
      <c r="G144" s="141"/>
      <c r="H144" s="141" t="n">
        <v>15</v>
      </c>
      <c r="I144" s="141" t="n">
        <v>128</v>
      </c>
      <c r="J144" s="67" t="n">
        <f aca="false">SUM(E144+F144+G144+H144+I144)</f>
        <v>500</v>
      </c>
      <c r="K144" s="68" t="n">
        <v>46084</v>
      </c>
      <c r="L144" s="142" t="s">
        <v>151</v>
      </c>
    </row>
    <row r="145" customFormat="false" ht="15" hidden="false" customHeight="false" outlineLevel="0" collapsed="false">
      <c r="A145" s="63" t="s">
        <v>152</v>
      </c>
      <c r="B145" s="70" t="s">
        <v>94</v>
      </c>
      <c r="C145" s="71"/>
      <c r="D145" s="72"/>
      <c r="E145" s="141" t="n">
        <v>0</v>
      </c>
      <c r="F145" s="143" t="n">
        <v>6344</v>
      </c>
      <c r="G145" s="141"/>
      <c r="H145" s="141" t="n">
        <v>0</v>
      </c>
      <c r="I145" s="141"/>
      <c r="J145" s="67" t="n">
        <f aca="false">SUM(E145+F145+G145+H145+I145)</f>
        <v>6344</v>
      </c>
      <c r="K145" s="68" t="n">
        <v>46084</v>
      </c>
      <c r="L145" s="69" t="s">
        <v>153</v>
      </c>
    </row>
    <row r="146" customFormat="false" ht="15" hidden="false" customHeight="false" outlineLevel="0" collapsed="false">
      <c r="A146" s="63" t="s">
        <v>154</v>
      </c>
      <c r="B146" s="70" t="s">
        <v>94</v>
      </c>
      <c r="C146" s="71"/>
      <c r="D146" s="72"/>
      <c r="E146" s="143" t="n">
        <v>5320.5</v>
      </c>
      <c r="F146" s="141" t="n">
        <v>0</v>
      </c>
      <c r="G146" s="141"/>
      <c r="H146" s="141" t="n">
        <v>0</v>
      </c>
      <c r="I146" s="141"/>
      <c r="J146" s="67" t="n">
        <f aca="false">SUM(E146+F146+G146+H146+I146)</f>
        <v>5320.5</v>
      </c>
      <c r="K146" s="68" t="n">
        <v>46084</v>
      </c>
      <c r="L146" s="69" t="s">
        <v>155</v>
      </c>
    </row>
    <row r="147" customFormat="false" ht="15" hidden="false" customHeight="false" outlineLevel="0" collapsed="false">
      <c r="A147" s="63" t="s">
        <v>156</v>
      </c>
      <c r="B147" s="144" t="s">
        <v>157</v>
      </c>
      <c r="C147" s="144"/>
      <c r="D147" s="72"/>
      <c r="E147" s="143"/>
      <c r="F147" s="141"/>
      <c r="G147" s="141"/>
      <c r="H147" s="141"/>
      <c r="I147" s="141"/>
      <c r="J147" s="67"/>
      <c r="K147" s="68"/>
      <c r="L147" s="69"/>
    </row>
    <row r="148" customFormat="false" ht="15" hidden="false" customHeight="false" outlineLevel="0" collapsed="false">
      <c r="A148" s="63" t="s">
        <v>158</v>
      </c>
      <c r="B148" s="70" t="s">
        <v>130</v>
      </c>
      <c r="C148" s="71"/>
      <c r="D148" s="72"/>
      <c r="E148" s="141" t="n">
        <v>285</v>
      </c>
      <c r="F148" s="141" t="n">
        <v>50</v>
      </c>
      <c r="G148" s="141"/>
      <c r="H148" s="141" t="n">
        <v>15</v>
      </c>
      <c r="I148" s="141"/>
      <c r="J148" s="67" t="n">
        <f aca="false">SUM(E148+F148+G148+H148+I148)</f>
        <v>350</v>
      </c>
      <c r="K148" s="68" t="n">
        <v>46085</v>
      </c>
      <c r="L148" s="74" t="s">
        <v>159</v>
      </c>
    </row>
    <row r="149" customFormat="false" ht="15" hidden="false" customHeight="false" outlineLevel="0" collapsed="false">
      <c r="A149" s="63" t="s">
        <v>160</v>
      </c>
      <c r="B149" s="70" t="s">
        <v>161</v>
      </c>
      <c r="C149" s="71"/>
      <c r="D149" s="72"/>
      <c r="E149" s="141" t="n">
        <v>335</v>
      </c>
      <c r="F149" s="141" t="n">
        <v>50</v>
      </c>
      <c r="G149" s="141"/>
      <c r="H149" s="141" t="n">
        <v>15</v>
      </c>
      <c r="I149" s="141"/>
      <c r="J149" s="67" t="n">
        <f aca="false">SUM(E149+F149+G149+H149+I149)</f>
        <v>400</v>
      </c>
      <c r="K149" s="68" t="n">
        <v>46085</v>
      </c>
      <c r="L149" s="69" t="s">
        <v>162</v>
      </c>
    </row>
    <row r="150" customFormat="false" ht="15" hidden="false" customHeight="false" outlineLevel="0" collapsed="false">
      <c r="A150" s="63" t="s">
        <v>163</v>
      </c>
      <c r="B150" s="70" t="s">
        <v>164</v>
      </c>
      <c r="C150" s="71"/>
      <c r="D150" s="72"/>
      <c r="E150" s="141" t="n">
        <v>285</v>
      </c>
      <c r="F150" s="141" t="n">
        <v>50</v>
      </c>
      <c r="G150" s="141"/>
      <c r="H150" s="141" t="n">
        <v>15</v>
      </c>
      <c r="I150" s="141"/>
      <c r="J150" s="67" t="n">
        <f aca="false">SUM(E150+F150+G150+H150+I150)</f>
        <v>350</v>
      </c>
      <c r="K150" s="68" t="n">
        <v>46085</v>
      </c>
      <c r="L150" s="74" t="s">
        <v>159</v>
      </c>
      <c r="N150" s="16" t="s">
        <v>116</v>
      </c>
      <c r="O150" s="126" t="n">
        <v>350</v>
      </c>
      <c r="P150" s="126" t="n">
        <v>400</v>
      </c>
    </row>
    <row r="151" customFormat="false" ht="15" hidden="false" customHeight="false" outlineLevel="0" collapsed="false">
      <c r="A151" s="63" t="s">
        <v>165</v>
      </c>
      <c r="B151" s="70" t="s">
        <v>33</v>
      </c>
      <c r="C151" s="71"/>
      <c r="D151" s="72"/>
      <c r="E151" s="141" t="n">
        <v>570</v>
      </c>
      <c r="F151" s="141" t="n">
        <v>100</v>
      </c>
      <c r="G151" s="141"/>
      <c r="H151" s="141" t="n">
        <v>30</v>
      </c>
      <c r="I151" s="141"/>
      <c r="J151" s="67" t="n">
        <f aca="false">SUM(E151+F151+G151+H151+I151)</f>
        <v>700</v>
      </c>
      <c r="K151" s="68" t="n">
        <v>46086</v>
      </c>
      <c r="L151" s="73" t="s">
        <v>166</v>
      </c>
      <c r="N151" s="6" t="n">
        <v>1</v>
      </c>
      <c r="O151" s="18" t="n">
        <v>285</v>
      </c>
      <c r="P151" s="18" t="n">
        <v>335</v>
      </c>
    </row>
    <row r="152" customFormat="false" ht="15" hidden="false" customHeight="false" outlineLevel="0" collapsed="false">
      <c r="A152" s="63" t="s">
        <v>167</v>
      </c>
      <c r="B152" s="70" t="s">
        <v>94</v>
      </c>
      <c r="C152" s="71"/>
      <c r="D152" s="72"/>
      <c r="E152" s="141" t="n">
        <v>285</v>
      </c>
      <c r="F152" s="141" t="n">
        <v>50</v>
      </c>
      <c r="G152" s="141"/>
      <c r="H152" s="141" t="n">
        <v>15</v>
      </c>
      <c r="I152" s="141"/>
      <c r="J152" s="67" t="n">
        <f aca="false">SUM(E152+F152+G152+H152+I152)</f>
        <v>350</v>
      </c>
      <c r="K152" s="68" t="n">
        <v>46086</v>
      </c>
      <c r="L152" s="69" t="s">
        <v>168</v>
      </c>
      <c r="N152" s="6" t="n">
        <v>2</v>
      </c>
      <c r="O152" s="18" t="n">
        <f aca="false">285*2</f>
        <v>570</v>
      </c>
      <c r="P152" s="18" t="n">
        <v>670</v>
      </c>
    </row>
    <row r="153" customFormat="false" ht="15" hidden="false" customHeight="false" outlineLevel="0" collapsed="false">
      <c r="A153" s="63" t="s">
        <v>169</v>
      </c>
      <c r="B153" s="64" t="s">
        <v>170</v>
      </c>
      <c r="C153" s="64"/>
      <c r="D153" s="64"/>
      <c r="E153" s="141" t="n">
        <v>322</v>
      </c>
      <c r="F153" s="141" t="n">
        <v>50</v>
      </c>
      <c r="G153" s="141"/>
      <c r="H153" s="141" t="n">
        <v>0</v>
      </c>
      <c r="I153" s="141" t="n">
        <v>128</v>
      </c>
      <c r="J153" s="67" t="n">
        <f aca="false">SUM(E153+F153+G153+H153+I153)</f>
        <v>500</v>
      </c>
      <c r="K153" s="68" t="n">
        <v>46087</v>
      </c>
      <c r="L153" s="69" t="s">
        <v>171</v>
      </c>
      <c r="N153" s="6" t="n">
        <v>3</v>
      </c>
      <c r="O153" s="18" t="n">
        <f aca="false">285*3</f>
        <v>855</v>
      </c>
      <c r="P153" s="18" t="n">
        <v>1005</v>
      </c>
    </row>
    <row r="154" customFormat="false" ht="15" hidden="false" customHeight="false" outlineLevel="0" collapsed="false">
      <c r="A154" s="63" t="s">
        <v>172</v>
      </c>
      <c r="B154" s="64" t="s">
        <v>106</v>
      </c>
      <c r="C154" s="64"/>
      <c r="D154" s="64"/>
      <c r="E154" s="141" t="n">
        <v>570</v>
      </c>
      <c r="F154" s="141" t="n">
        <v>100</v>
      </c>
      <c r="G154" s="141"/>
      <c r="H154" s="141" t="n">
        <v>30</v>
      </c>
      <c r="I154" s="141"/>
      <c r="J154" s="67" t="n">
        <f aca="false">SUM(E154+F154+G154+H154+I154)</f>
        <v>700</v>
      </c>
      <c r="K154" s="68" t="n">
        <v>46087</v>
      </c>
      <c r="L154" s="74" t="s">
        <v>173</v>
      </c>
      <c r="N154" s="6" t="n">
        <v>4</v>
      </c>
      <c r="O154" s="18" t="n">
        <f aca="false">285*4</f>
        <v>1140</v>
      </c>
      <c r="P154" s="18" t="n">
        <v>1340</v>
      </c>
    </row>
    <row r="155" customFormat="false" ht="15" hidden="false" customHeight="false" outlineLevel="0" collapsed="false">
      <c r="A155" s="63" t="s">
        <v>174</v>
      </c>
      <c r="B155" s="70" t="s">
        <v>97</v>
      </c>
      <c r="C155" s="71"/>
      <c r="D155" s="72"/>
      <c r="E155" s="141" t="n">
        <v>570</v>
      </c>
      <c r="F155" s="141" t="n">
        <v>100</v>
      </c>
      <c r="G155" s="141"/>
      <c r="H155" s="141" t="n">
        <v>30</v>
      </c>
      <c r="I155" s="141"/>
      <c r="J155" s="67" t="n">
        <f aca="false">SUM(E155+F155+G155+H155+I155)</f>
        <v>700</v>
      </c>
      <c r="K155" s="68" t="n">
        <v>46091</v>
      </c>
      <c r="L155" s="74" t="s">
        <v>175</v>
      </c>
      <c r="N155" s="6"/>
      <c r="O155" s="18"/>
      <c r="P155" s="18"/>
    </row>
    <row r="156" customFormat="false" ht="16.5" hidden="false" customHeight="true" outlineLevel="0" collapsed="false">
      <c r="A156" s="63" t="s">
        <v>176</v>
      </c>
      <c r="B156" s="70" t="s">
        <v>94</v>
      </c>
      <c r="C156" s="71"/>
      <c r="D156" s="72"/>
      <c r="E156" s="141" t="n">
        <v>855</v>
      </c>
      <c r="F156" s="141"/>
      <c r="G156" s="141"/>
      <c r="H156" s="141"/>
      <c r="I156" s="141"/>
      <c r="J156" s="67" t="n">
        <f aca="false">SUM(E156+F156+G156+H156+I156)</f>
        <v>855</v>
      </c>
      <c r="K156" s="68" t="n">
        <v>46091</v>
      </c>
      <c r="L156" s="74" t="s">
        <v>177</v>
      </c>
      <c r="N156" s="6"/>
      <c r="O156" s="18"/>
      <c r="P156" s="18"/>
    </row>
    <row r="157" customFormat="false" ht="15" hidden="false" customHeight="false" outlineLevel="0" collapsed="false">
      <c r="A157" s="63" t="s">
        <v>178</v>
      </c>
      <c r="B157" s="70" t="s">
        <v>179</v>
      </c>
      <c r="C157" s="71"/>
      <c r="D157" s="72"/>
      <c r="E157" s="141" t="n">
        <v>570</v>
      </c>
      <c r="F157" s="141" t="n">
        <v>100</v>
      </c>
      <c r="G157" s="141"/>
      <c r="H157" s="141" t="n">
        <v>30</v>
      </c>
      <c r="I157" s="141"/>
      <c r="J157" s="67" t="n">
        <f aca="false">SUM(E157+F157+G157+H157+I157)</f>
        <v>700</v>
      </c>
      <c r="K157" s="68" t="n">
        <v>46091</v>
      </c>
      <c r="L157" s="74" t="s">
        <v>175</v>
      </c>
      <c r="N157" s="6"/>
      <c r="O157" s="18"/>
      <c r="P157" s="18"/>
    </row>
    <row r="158" customFormat="false" ht="15" hidden="false" customHeight="false" outlineLevel="0" collapsed="false">
      <c r="A158" s="63"/>
      <c r="B158" s="70" t="s">
        <v>62</v>
      </c>
      <c r="C158" s="71"/>
      <c r="D158" s="72"/>
      <c r="E158" s="141"/>
      <c r="F158" s="141"/>
      <c r="G158" s="141" t="n">
        <v>270</v>
      </c>
      <c r="H158" s="141"/>
      <c r="I158" s="141"/>
      <c r="J158" s="67" t="n">
        <f aca="false">SUM(E158+F158+G158+H158+I158)</f>
        <v>270</v>
      </c>
      <c r="K158" s="68" t="n">
        <v>46084</v>
      </c>
      <c r="L158" s="74"/>
      <c r="N158" s="6"/>
      <c r="O158" s="18"/>
      <c r="P158" s="18"/>
    </row>
    <row r="159" customFormat="false" ht="15" hidden="false" customHeight="false" outlineLevel="0" collapsed="false">
      <c r="A159" s="63"/>
      <c r="B159" s="70" t="s">
        <v>62</v>
      </c>
      <c r="C159" s="71"/>
      <c r="D159" s="72"/>
      <c r="E159" s="141"/>
      <c r="F159" s="141"/>
      <c r="G159" s="141" t="n">
        <v>135</v>
      </c>
      <c r="H159" s="141"/>
      <c r="I159" s="141"/>
      <c r="J159" s="67" t="n">
        <f aca="false">SUM(E159+F159+G159+H159+I159)</f>
        <v>135</v>
      </c>
      <c r="K159" s="68" t="n">
        <v>46091</v>
      </c>
      <c r="L159" s="74"/>
      <c r="N159" s="6"/>
      <c r="O159" s="18"/>
      <c r="P159" s="18"/>
    </row>
    <row r="160" customFormat="false" ht="15" hidden="false" customHeight="false" outlineLevel="0" collapsed="false">
      <c r="A160" s="63" t="s">
        <v>180</v>
      </c>
      <c r="B160" s="70" t="s">
        <v>94</v>
      </c>
      <c r="C160" s="71"/>
      <c r="D160" s="72"/>
      <c r="E160" s="141" t="n">
        <v>285</v>
      </c>
      <c r="F160" s="141" t="n">
        <v>50</v>
      </c>
      <c r="G160" s="141"/>
      <c r="H160" s="141" t="n">
        <v>15</v>
      </c>
      <c r="I160" s="141"/>
      <c r="J160" s="67" t="n">
        <f aca="false">SUM(E160+F160+G160+H160+I160)</f>
        <v>350</v>
      </c>
      <c r="K160" s="68" t="n">
        <v>46098</v>
      </c>
      <c r="L160" s="74" t="s">
        <v>159</v>
      </c>
      <c r="N160" s="6"/>
      <c r="O160" s="18"/>
      <c r="P160" s="18"/>
    </row>
    <row r="161" customFormat="false" ht="15" hidden="false" customHeight="false" outlineLevel="0" collapsed="false">
      <c r="A161" s="63" t="s">
        <v>181</v>
      </c>
      <c r="B161" s="70" t="s">
        <v>118</v>
      </c>
      <c r="C161" s="71"/>
      <c r="D161" s="72"/>
      <c r="E161" s="141" t="n">
        <v>385</v>
      </c>
      <c r="F161" s="141" t="n">
        <v>50</v>
      </c>
      <c r="G161" s="141"/>
      <c r="H161" s="141" t="n">
        <v>15</v>
      </c>
      <c r="I161" s="141" t="n">
        <v>0</v>
      </c>
      <c r="J161" s="67" t="n">
        <f aca="false">SUM(E161+F161+G161+H161+I161)</f>
        <v>450</v>
      </c>
      <c r="K161" s="68" t="n">
        <v>46099</v>
      </c>
      <c r="L161" s="142" t="s">
        <v>182</v>
      </c>
      <c r="N161" s="6"/>
      <c r="O161" s="18"/>
      <c r="P161" s="18"/>
    </row>
    <row r="162" customFormat="false" ht="15" hidden="false" customHeight="false" outlineLevel="0" collapsed="false">
      <c r="A162" s="63"/>
      <c r="B162" s="70" t="s">
        <v>62</v>
      </c>
      <c r="C162" s="71"/>
      <c r="D162" s="72"/>
      <c r="E162" s="141"/>
      <c r="F162" s="141"/>
      <c r="G162" s="141" t="n">
        <v>128</v>
      </c>
      <c r="H162" s="141"/>
      <c r="I162" s="141"/>
      <c r="J162" s="67" t="n">
        <f aca="false">SUM(E162+F162+G162+H162+I162)</f>
        <v>128</v>
      </c>
      <c r="K162" s="68" t="n">
        <v>46098</v>
      </c>
      <c r="L162" s="74" t="s">
        <v>21</v>
      </c>
      <c r="N162" s="6"/>
      <c r="O162" s="18"/>
      <c r="P162" s="18"/>
    </row>
    <row r="163" customFormat="false" ht="15" hidden="false" customHeight="false" outlineLevel="0" collapsed="false">
      <c r="A163" s="63" t="s">
        <v>183</v>
      </c>
      <c r="B163" s="70" t="s">
        <v>33</v>
      </c>
      <c r="C163" s="71"/>
      <c r="D163" s="72"/>
      <c r="E163" s="141" t="n">
        <v>285</v>
      </c>
      <c r="F163" s="141" t="n">
        <v>50</v>
      </c>
      <c r="G163" s="141"/>
      <c r="H163" s="141" t="n">
        <v>15</v>
      </c>
      <c r="I163" s="141" t="n">
        <v>0</v>
      </c>
      <c r="J163" s="67" t="n">
        <f aca="false">SUM(E163+F163+G163+H163+I163)</f>
        <v>350</v>
      </c>
      <c r="K163" s="68" t="n">
        <v>46106</v>
      </c>
      <c r="L163" s="74" t="s">
        <v>184</v>
      </c>
      <c r="N163" s="6"/>
      <c r="O163" s="18"/>
      <c r="P163" s="18"/>
    </row>
    <row r="164" customFormat="false" ht="15" hidden="false" customHeight="false" outlineLevel="0" collapsed="false">
      <c r="A164" s="63"/>
      <c r="B164" s="70" t="s">
        <v>185</v>
      </c>
      <c r="C164" s="71"/>
      <c r="D164" s="72"/>
      <c r="E164" s="141" t="n">
        <v>3500</v>
      </c>
      <c r="F164" s="141"/>
      <c r="G164" s="141"/>
      <c r="H164" s="141"/>
      <c r="I164" s="141"/>
      <c r="J164" s="67" t="n">
        <f aca="false">SUM(E164+F164+G164+H164+I164)</f>
        <v>3500</v>
      </c>
      <c r="K164" s="68"/>
      <c r="L164" s="74"/>
      <c r="N164" s="6"/>
      <c r="O164" s="18"/>
      <c r="P164" s="18"/>
    </row>
    <row r="165" customFormat="false" ht="15" hidden="false" customHeight="false" outlineLevel="0" collapsed="false">
      <c r="A165" s="63"/>
      <c r="B165" s="64"/>
      <c r="C165" s="64"/>
      <c r="D165" s="64"/>
      <c r="E165" s="75" t="n">
        <f aca="false">SUM(E139:E164)</f>
        <v>17344.5</v>
      </c>
      <c r="F165" s="75" t="n">
        <f aca="false">SUM(F139:F163)</f>
        <v>7644</v>
      </c>
      <c r="G165" s="75" t="n">
        <f aca="false">SUM(G139:G163)</f>
        <v>533</v>
      </c>
      <c r="H165" s="75" t="n">
        <f aca="false">SUM(H139:H163)</f>
        <v>375</v>
      </c>
      <c r="I165" s="75" t="n">
        <f aca="false">SUM(I139:I163)</f>
        <v>256</v>
      </c>
      <c r="J165" s="67" t="n">
        <f aca="false">SUM(E165+F165+G165+H165+I165)</f>
        <v>26152.5</v>
      </c>
      <c r="K165" s="76"/>
      <c r="L165" s="69"/>
      <c r="N165" s="6" t="n">
        <v>6</v>
      </c>
      <c r="O165" s="18" t="n">
        <f aca="false">285*6</f>
        <v>1710</v>
      </c>
      <c r="P165" s="18" t="n">
        <v>2010</v>
      </c>
    </row>
    <row r="166" customFormat="false" ht="15" hidden="false" customHeight="false" outlineLevel="0" collapsed="false">
      <c r="A166" s="77"/>
      <c r="B166" s="78"/>
      <c r="C166" s="78"/>
      <c r="D166" s="78"/>
      <c r="E166" s="79"/>
      <c r="F166" s="79"/>
      <c r="G166" s="80"/>
      <c r="H166" s="80"/>
      <c r="I166" s="80"/>
      <c r="J166" s="81"/>
      <c r="N166" s="1" t="s">
        <v>21</v>
      </c>
    </row>
    <row r="167" customFormat="false" ht="15" hidden="false" customHeight="false" outlineLevel="0" collapsed="false">
      <c r="A167" s="82"/>
      <c r="B167" s="83"/>
      <c r="C167" s="83"/>
      <c r="D167" s="83"/>
      <c r="E167" s="80"/>
      <c r="F167" s="80"/>
      <c r="G167" s="84"/>
      <c r="H167" s="84"/>
      <c r="I167" s="84"/>
      <c r="J167" s="85"/>
    </row>
    <row r="168" customFormat="false" ht="15" hidden="false" customHeight="false" outlineLevel="0" collapsed="false">
      <c r="C168" s="55" t="s">
        <v>75</v>
      </c>
      <c r="D168" s="55"/>
      <c r="E168" s="55"/>
      <c r="F168" s="55"/>
      <c r="G168" s="55"/>
      <c r="H168" s="55"/>
      <c r="I168" s="55"/>
    </row>
    <row r="169" customFormat="false" ht="15" hidden="false" customHeight="true" outlineLevel="0" collapsed="false">
      <c r="A169" s="86" t="s">
        <v>76</v>
      </c>
      <c r="B169" s="87" t="s">
        <v>77</v>
      </c>
      <c r="C169" s="87"/>
      <c r="D169" s="87"/>
      <c r="E169" s="88" t="s">
        <v>78</v>
      </c>
      <c r="F169" s="88"/>
      <c r="G169" s="88"/>
      <c r="H169" s="88"/>
      <c r="I169" s="88"/>
      <c r="J169" s="88"/>
      <c r="K169" s="86" t="s">
        <v>59</v>
      </c>
      <c r="L169" s="89" t="s">
        <v>79</v>
      </c>
    </row>
    <row r="170" customFormat="false" ht="15" hidden="false" customHeight="false" outlineLevel="0" collapsed="false">
      <c r="A170" s="86"/>
      <c r="B170" s="87"/>
      <c r="C170" s="87"/>
      <c r="D170" s="87"/>
      <c r="E170" s="16" t="s">
        <v>53</v>
      </c>
      <c r="F170" s="16" t="s">
        <v>80</v>
      </c>
      <c r="G170" s="90" t="s">
        <v>81</v>
      </c>
      <c r="H170" s="91" t="s">
        <v>56</v>
      </c>
      <c r="I170" s="90" t="s">
        <v>82</v>
      </c>
      <c r="J170" s="92" t="s">
        <v>58</v>
      </c>
      <c r="K170" s="86"/>
      <c r="L170" s="89"/>
    </row>
    <row r="171" customFormat="false" ht="15" hidden="false" customHeight="false" outlineLevel="0" collapsed="false">
      <c r="A171" s="93" t="n">
        <v>1</v>
      </c>
      <c r="B171" s="129" t="s">
        <v>186</v>
      </c>
      <c r="C171" s="129"/>
      <c r="D171" s="129"/>
      <c r="E171" s="102" t="n">
        <v>85</v>
      </c>
      <c r="F171" s="102"/>
      <c r="G171" s="102"/>
      <c r="H171" s="103"/>
      <c r="I171" s="104"/>
      <c r="J171" s="18" t="n">
        <f aca="false">E171+F171+G171+H171+I171</f>
        <v>85</v>
      </c>
      <c r="K171" s="130" t="s">
        <v>21</v>
      </c>
      <c r="L171" s="131" t="s">
        <v>21</v>
      </c>
    </row>
    <row r="172" customFormat="false" ht="15" hidden="false" customHeight="false" outlineLevel="0" collapsed="false">
      <c r="A172" s="93" t="n">
        <v>2</v>
      </c>
      <c r="B172" s="94" t="s">
        <v>187</v>
      </c>
      <c r="C172" s="94"/>
      <c r="D172" s="94"/>
      <c r="E172" s="95" t="n">
        <v>4386</v>
      </c>
      <c r="F172" s="95"/>
      <c r="G172" s="95"/>
      <c r="H172" s="96"/>
      <c r="I172" s="97"/>
      <c r="J172" s="76"/>
      <c r="K172" s="76"/>
      <c r="L172" s="145" t="s">
        <v>21</v>
      </c>
    </row>
    <row r="173" customFormat="false" ht="15" hidden="false" customHeight="false" outlineLevel="0" collapsed="false">
      <c r="A173" s="93" t="n">
        <v>3</v>
      </c>
      <c r="B173" s="94" t="s">
        <v>188</v>
      </c>
      <c r="C173" s="94"/>
      <c r="D173" s="94"/>
      <c r="E173" s="95" t="n">
        <v>100</v>
      </c>
      <c r="F173" s="95"/>
      <c r="G173" s="95"/>
      <c r="H173" s="96"/>
      <c r="I173" s="97" t="n">
        <v>0</v>
      </c>
      <c r="J173" s="76"/>
      <c r="K173" s="76"/>
      <c r="L173" s="145"/>
    </row>
    <row r="174" customFormat="false" ht="15" hidden="false" customHeight="false" outlineLevel="0" collapsed="false">
      <c r="A174" s="93" t="n">
        <v>4</v>
      </c>
      <c r="B174" s="100" t="s">
        <v>185</v>
      </c>
      <c r="C174" s="100"/>
      <c r="D174" s="100"/>
      <c r="E174" s="95" t="n">
        <v>3500</v>
      </c>
      <c r="F174" s="95"/>
      <c r="G174" s="95"/>
      <c r="H174" s="96"/>
      <c r="I174" s="97"/>
      <c r="J174" s="76"/>
      <c r="K174" s="76"/>
      <c r="L174" s="145"/>
    </row>
    <row r="175" customFormat="false" ht="15" hidden="false" customHeight="false" outlineLevel="0" collapsed="false">
      <c r="A175" s="93"/>
      <c r="B175" s="101"/>
      <c r="C175" s="101"/>
      <c r="D175" s="101"/>
      <c r="E175" s="102" t="s">
        <v>21</v>
      </c>
      <c r="F175" s="102"/>
      <c r="G175" s="18"/>
      <c r="H175" s="104"/>
      <c r="I175" s="104"/>
      <c r="J175" s="6"/>
      <c r="K175" s="6"/>
      <c r="L175" s="132"/>
    </row>
    <row r="176" customFormat="false" ht="15" hidden="false" customHeight="false" outlineLevel="0" collapsed="false">
      <c r="A176" s="6"/>
      <c r="B176" s="101"/>
      <c r="C176" s="101"/>
      <c r="D176" s="101"/>
      <c r="E176" s="22" t="n">
        <f aca="false">SUM(E171:E175)</f>
        <v>8071</v>
      </c>
      <c r="F176" s="22" t="n">
        <f aca="false">SUM(F171:F175)</f>
        <v>0</v>
      </c>
      <c r="G176" s="22" t="n">
        <f aca="false">SUM(G171:G175)</f>
        <v>0</v>
      </c>
      <c r="H176" s="22" t="n">
        <f aca="false">SUM(H171:H175)</f>
        <v>0</v>
      </c>
      <c r="I176" s="22" t="n">
        <f aca="false">SUM(I171:I175)</f>
        <v>0</v>
      </c>
      <c r="J176" s="22" t="n">
        <f aca="false">E176+F176+G176+H176+I176</f>
        <v>8071</v>
      </c>
      <c r="K176" s="6"/>
      <c r="L176" s="132"/>
    </row>
    <row r="177" customFormat="false" ht="15" hidden="false" customHeight="false" outlineLevel="0" collapsed="false">
      <c r="A177" s="85"/>
      <c r="B177" s="78"/>
      <c r="C177" s="78"/>
      <c r="D177" s="78"/>
      <c r="E177" s="105"/>
      <c r="F177" s="105"/>
      <c r="G177" s="105"/>
      <c r="H177" s="105"/>
      <c r="I177" s="105"/>
      <c r="J177" s="85"/>
    </row>
    <row r="178" customFormat="false" ht="15" hidden="false" customHeight="false" outlineLevel="0" collapsed="false">
      <c r="A178" s="85"/>
      <c r="B178" s="83"/>
      <c r="C178" s="83"/>
      <c r="D178" s="83"/>
      <c r="E178" s="105"/>
      <c r="F178" s="105"/>
      <c r="G178" s="105"/>
      <c r="H178" s="106" t="s">
        <v>85</v>
      </c>
      <c r="I178" s="106"/>
      <c r="J178" s="23" t="n">
        <f aca="false">J165-J176</f>
        <v>18081.5</v>
      </c>
    </row>
    <row r="179" customFormat="false" ht="15" hidden="false" customHeight="false" outlineLevel="0" collapsed="false">
      <c r="A179" s="85"/>
      <c r="B179" s="83"/>
      <c r="C179" s="83"/>
      <c r="D179" s="83"/>
      <c r="E179" s="105"/>
      <c r="F179" s="105"/>
      <c r="G179" s="105"/>
      <c r="H179" s="105"/>
      <c r="I179" s="105"/>
      <c r="J179" s="85"/>
    </row>
    <row r="180" customFormat="false" ht="15" hidden="false" customHeight="false" outlineLevel="0" collapsed="false">
      <c r="A180" s="85"/>
      <c r="B180" s="36" t="s">
        <v>86</v>
      </c>
      <c r="C180" s="36"/>
      <c r="D180" s="107"/>
      <c r="E180" s="36" t="s">
        <v>87</v>
      </c>
      <c r="F180" s="36"/>
      <c r="G180" s="36"/>
      <c r="H180" s="54"/>
      <c r="I180" s="107"/>
      <c r="J180" s="36" t="s">
        <v>88</v>
      </c>
      <c r="K180" s="36"/>
    </row>
    <row r="181" customFormat="false" ht="15" hidden="false" customHeight="false" outlineLevel="0" collapsed="false">
      <c r="A181" s="85"/>
      <c r="C181" s="107"/>
      <c r="D181" s="107"/>
      <c r="E181" s="107"/>
      <c r="F181" s="107"/>
      <c r="G181" s="107"/>
      <c r="H181" s="107"/>
      <c r="I181" s="107"/>
    </row>
    <row r="182" customFormat="false" ht="15" hidden="false" customHeight="false" outlineLevel="0" collapsed="false">
      <c r="A182" s="85"/>
      <c r="B182" s="108" t="s">
        <v>17</v>
      </c>
      <c r="C182" s="108"/>
      <c r="D182" s="108"/>
      <c r="E182" s="109" t="s">
        <v>22</v>
      </c>
      <c r="F182" s="109"/>
      <c r="G182" s="109"/>
      <c r="H182" s="110"/>
      <c r="J182" s="111" t="s">
        <v>19</v>
      </c>
      <c r="K182" s="111"/>
      <c r="L182" s="111"/>
    </row>
    <row r="183" customFormat="false" ht="15" hidden="false" customHeight="false" outlineLevel="0" collapsed="false">
      <c r="A183" s="85"/>
      <c r="B183" s="36" t="s">
        <v>89</v>
      </c>
      <c r="C183" s="36"/>
      <c r="D183" s="107"/>
      <c r="E183" s="36" t="s">
        <v>90</v>
      </c>
      <c r="F183" s="36"/>
      <c r="G183" s="36"/>
      <c r="H183" s="54"/>
      <c r="J183" s="36" t="s">
        <v>91</v>
      </c>
      <c r="K183" s="36"/>
    </row>
    <row r="184" customFormat="false" ht="15" hidden="false" customHeight="false" outlineLevel="0" collapsed="false">
      <c r="A184" s="85"/>
      <c r="B184" s="83"/>
      <c r="C184" s="83"/>
      <c r="D184" s="83"/>
      <c r="E184" s="105"/>
      <c r="F184" s="105"/>
      <c r="G184" s="105"/>
      <c r="H184" s="105"/>
      <c r="I184" s="105"/>
      <c r="J184" s="85"/>
    </row>
    <row r="194" customFormat="false" ht="15" hidden="false" customHeight="false" outlineLevel="0" collapsed="false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</row>
    <row r="195" customFormat="false" ht="18.75" hidden="false" customHeight="true" outlineLevel="0" collapsed="false">
      <c r="C195" s="47"/>
      <c r="D195" s="48" t="s">
        <v>44</v>
      </c>
      <c r="E195" s="48"/>
      <c r="F195" s="48"/>
      <c r="G195" s="48"/>
      <c r="H195" s="48"/>
      <c r="I195" s="48"/>
      <c r="J195" s="48"/>
      <c r="K195" s="49"/>
      <c r="L195" s="49"/>
    </row>
    <row r="196" customFormat="false" ht="15" hidden="false" customHeight="false" outlineLevel="0" collapsed="false">
      <c r="G196" s="36"/>
      <c r="H196" s="36"/>
      <c r="I196" s="36"/>
      <c r="J196" s="36"/>
    </row>
    <row r="197" customFormat="false" ht="15" hidden="false" customHeight="false" outlineLevel="0" collapsed="false">
      <c r="B197" s="50" t="s">
        <v>189</v>
      </c>
      <c r="C197" s="50"/>
      <c r="D197" s="50"/>
      <c r="E197" s="50"/>
      <c r="F197" s="50"/>
      <c r="G197" s="50"/>
      <c r="H197" s="50"/>
      <c r="I197" s="50"/>
      <c r="J197" s="50"/>
      <c r="K197" s="50"/>
    </row>
    <row r="198" customFormat="false" ht="15" hidden="false" customHeight="false" outlineLevel="0" collapsed="false">
      <c r="B198" s="50" t="s">
        <v>46</v>
      </c>
      <c r="C198" s="51" t="n">
        <v>300</v>
      </c>
      <c r="D198" s="50"/>
      <c r="E198" s="52" t="s">
        <v>47</v>
      </c>
      <c r="F198" s="50"/>
      <c r="G198" s="53" t="n">
        <v>50</v>
      </c>
      <c r="H198" s="53"/>
      <c r="I198" s="54" t="s">
        <v>48</v>
      </c>
      <c r="J198" s="54" t="n">
        <v>16</v>
      </c>
    </row>
    <row r="199" customFormat="false" ht="15" hidden="false" customHeight="false" outlineLevel="0" collapsed="false">
      <c r="B199" s="50"/>
      <c r="C199" s="51"/>
      <c r="D199" s="50"/>
      <c r="E199" s="52"/>
      <c r="F199" s="50"/>
      <c r="G199" s="53"/>
      <c r="H199" s="53"/>
      <c r="I199" s="54"/>
      <c r="J199" s="54"/>
    </row>
    <row r="200" customFormat="false" ht="15" hidden="false" customHeight="false" outlineLevel="0" collapsed="false">
      <c r="E200" s="55" t="s">
        <v>49</v>
      </c>
      <c r="F200" s="55"/>
      <c r="G200" s="55"/>
      <c r="H200" s="55"/>
      <c r="I200" s="55"/>
      <c r="J200" s="56"/>
      <c r="K200" s="56"/>
    </row>
    <row r="201" customFormat="false" ht="15" hidden="false" customHeight="false" outlineLevel="0" collapsed="false">
      <c r="A201" s="113" t="s">
        <v>51</v>
      </c>
      <c r="B201" s="114" t="s">
        <v>52</v>
      </c>
      <c r="C201" s="114"/>
      <c r="D201" s="114"/>
      <c r="E201" s="92" t="s">
        <v>53</v>
      </c>
      <c r="F201" s="115" t="s">
        <v>54</v>
      </c>
      <c r="G201" s="11" t="s">
        <v>55</v>
      </c>
      <c r="H201" s="11" t="s">
        <v>56</v>
      </c>
      <c r="I201" s="116" t="s">
        <v>57</v>
      </c>
      <c r="J201" s="92" t="s">
        <v>58</v>
      </c>
      <c r="K201" s="92" t="s">
        <v>59</v>
      </c>
      <c r="L201" s="92" t="s">
        <v>60</v>
      </c>
    </row>
    <row r="202" customFormat="false" ht="15" hidden="false" customHeight="false" outlineLevel="0" collapsed="false">
      <c r="A202" s="117" t="s">
        <v>190</v>
      </c>
      <c r="B202" s="118" t="s">
        <v>191</v>
      </c>
      <c r="C202" s="118"/>
      <c r="D202" s="118"/>
      <c r="E202" s="119" t="n">
        <v>1425</v>
      </c>
      <c r="F202" s="119" t="n">
        <v>250</v>
      </c>
      <c r="G202" s="119"/>
      <c r="H202" s="119" t="n">
        <v>75</v>
      </c>
      <c r="I202" s="119" t="n">
        <v>50</v>
      </c>
      <c r="J202" s="23" t="n">
        <f aca="false">SUM(E202+F202+G202+H202+I202)</f>
        <v>1800</v>
      </c>
      <c r="K202" s="120" t="n">
        <v>46111</v>
      </c>
      <c r="L202" s="146" t="s">
        <v>192</v>
      </c>
    </row>
    <row r="203" customFormat="false" ht="15" hidden="false" customHeight="false" outlineLevel="0" collapsed="false">
      <c r="A203" s="117" t="s">
        <v>193</v>
      </c>
      <c r="B203" s="118" t="s">
        <v>194</v>
      </c>
      <c r="C203" s="118"/>
      <c r="D203" s="118"/>
      <c r="E203" s="119" t="n">
        <v>285</v>
      </c>
      <c r="F203" s="119" t="n">
        <v>50</v>
      </c>
      <c r="G203" s="119"/>
      <c r="H203" s="119" t="n">
        <v>15</v>
      </c>
      <c r="I203" s="119" t="n">
        <v>0</v>
      </c>
      <c r="J203" s="23" t="n">
        <f aca="false">SUM(E203+F203+G203+H203+I203)</f>
        <v>350</v>
      </c>
      <c r="K203" s="120" t="n">
        <v>46125</v>
      </c>
      <c r="L203" s="121" t="s">
        <v>195</v>
      </c>
    </row>
    <row r="204" customFormat="false" ht="15" hidden="false" customHeight="false" outlineLevel="0" collapsed="false">
      <c r="A204" s="117" t="s">
        <v>196</v>
      </c>
      <c r="B204" s="118" t="s">
        <v>197</v>
      </c>
      <c r="C204" s="118"/>
      <c r="D204" s="118"/>
      <c r="E204" s="119" t="n">
        <v>285</v>
      </c>
      <c r="F204" s="119" t="n">
        <v>50</v>
      </c>
      <c r="G204" s="119"/>
      <c r="H204" s="119" t="n">
        <v>15</v>
      </c>
      <c r="I204" s="119"/>
      <c r="J204" s="23" t="n">
        <f aca="false">SUM(E204+F204+G204+H204+I204)</f>
        <v>350</v>
      </c>
      <c r="K204" s="120" t="n">
        <v>46127</v>
      </c>
      <c r="L204" s="121" t="s">
        <v>195</v>
      </c>
    </row>
    <row r="205" customFormat="false" ht="15" hidden="false" customHeight="false" outlineLevel="0" collapsed="false">
      <c r="A205" s="117" t="s">
        <v>198</v>
      </c>
      <c r="B205" s="122" t="s">
        <v>199</v>
      </c>
      <c r="C205" s="123"/>
      <c r="D205" s="124"/>
      <c r="E205" s="119" t="n">
        <v>285</v>
      </c>
      <c r="F205" s="119" t="n">
        <v>50</v>
      </c>
      <c r="G205" s="119"/>
      <c r="H205" s="119" t="n">
        <v>15</v>
      </c>
      <c r="I205" s="119"/>
      <c r="J205" s="23" t="n">
        <f aca="false">SUM(E205+F205+G205+H205+I205)</f>
        <v>350</v>
      </c>
      <c r="K205" s="120" t="n">
        <v>46129</v>
      </c>
      <c r="L205" s="127" t="s">
        <v>200</v>
      </c>
      <c r="N205" s="1" t="s">
        <v>147</v>
      </c>
    </row>
    <row r="206" customFormat="false" ht="15" hidden="false" customHeight="false" outlineLevel="0" collapsed="false">
      <c r="A206" s="117" t="s">
        <v>201</v>
      </c>
      <c r="B206" s="122" t="s">
        <v>202</v>
      </c>
      <c r="C206" s="123"/>
      <c r="D206" s="124"/>
      <c r="E206" s="119" t="n">
        <v>285</v>
      </c>
      <c r="F206" s="119" t="n">
        <v>50</v>
      </c>
      <c r="G206" s="119"/>
      <c r="H206" s="119" t="n">
        <v>15</v>
      </c>
      <c r="I206" s="119"/>
      <c r="J206" s="23" t="n">
        <f aca="false">SUM(E206+F206+G206+H206+I206)</f>
        <v>350</v>
      </c>
      <c r="K206" s="120" t="n">
        <v>46130</v>
      </c>
      <c r="L206" s="121" t="s">
        <v>203</v>
      </c>
    </row>
    <row r="207" customFormat="false" ht="15" hidden="false" customHeight="false" outlineLevel="0" collapsed="false">
      <c r="A207" s="117" t="s">
        <v>204</v>
      </c>
      <c r="B207" s="122" t="s">
        <v>205</v>
      </c>
      <c r="C207" s="123"/>
      <c r="D207" s="124"/>
      <c r="E207" s="119" t="n">
        <v>855</v>
      </c>
      <c r="F207" s="119" t="n">
        <v>150</v>
      </c>
      <c r="G207" s="119"/>
      <c r="H207" s="119" t="n">
        <v>45</v>
      </c>
      <c r="I207" s="119"/>
      <c r="J207" s="23" t="n">
        <f aca="false">SUM(E207+F207+G207+H207+I207)</f>
        <v>1050</v>
      </c>
      <c r="K207" s="120" t="n">
        <v>46130</v>
      </c>
      <c r="L207" s="121" t="s">
        <v>206</v>
      </c>
    </row>
    <row r="208" customFormat="false" ht="15" hidden="false" customHeight="false" outlineLevel="0" collapsed="false">
      <c r="A208" s="117" t="s">
        <v>207</v>
      </c>
      <c r="B208" s="122" t="s">
        <v>208</v>
      </c>
      <c r="C208" s="123"/>
      <c r="D208" s="124"/>
      <c r="E208" s="119" t="n">
        <v>285</v>
      </c>
      <c r="F208" s="119" t="n">
        <v>50</v>
      </c>
      <c r="G208" s="119"/>
      <c r="H208" s="119" t="n">
        <v>15</v>
      </c>
      <c r="I208" s="119"/>
      <c r="J208" s="23" t="n">
        <f aca="false">SUM(E208+F208+G208+H208+I208)</f>
        <v>350</v>
      </c>
      <c r="K208" s="120" t="n">
        <v>46133</v>
      </c>
      <c r="L208" s="121" t="s">
        <v>203</v>
      </c>
    </row>
    <row r="209" customFormat="false" ht="15" hidden="false" customHeight="false" outlineLevel="0" collapsed="false">
      <c r="A209" s="117" t="s">
        <v>209</v>
      </c>
      <c r="B209" s="122" t="s">
        <v>210</v>
      </c>
      <c r="C209" s="123"/>
      <c r="D209" s="124"/>
      <c r="E209" s="119" t="n">
        <v>285</v>
      </c>
      <c r="F209" s="119" t="n">
        <v>50</v>
      </c>
      <c r="G209" s="119"/>
      <c r="H209" s="119" t="n">
        <v>15</v>
      </c>
      <c r="I209" s="119"/>
      <c r="J209" s="23" t="n">
        <f aca="false">SUM(E209+F209+G209+H209+I209)</f>
        <v>350</v>
      </c>
      <c r="K209" s="120" t="n">
        <v>46133</v>
      </c>
      <c r="L209" s="121" t="s">
        <v>203</v>
      </c>
    </row>
    <row r="210" customFormat="false" ht="15" hidden="false" customHeight="false" outlineLevel="0" collapsed="false">
      <c r="A210" s="117"/>
      <c r="B210" s="122" t="s">
        <v>62</v>
      </c>
      <c r="C210" s="123"/>
      <c r="D210" s="124"/>
      <c r="E210" s="119"/>
      <c r="F210" s="119"/>
      <c r="G210" s="119" t="n">
        <v>120</v>
      </c>
      <c r="H210" s="119"/>
      <c r="I210" s="119"/>
      <c r="J210" s="23" t="n">
        <f aca="false">SUM(E210+F210+G210+H210+I210)</f>
        <v>120</v>
      </c>
      <c r="K210" s="120" t="n">
        <v>46112</v>
      </c>
      <c r="L210" s="121"/>
    </row>
    <row r="211" customFormat="false" ht="15" hidden="false" customHeight="false" outlineLevel="0" collapsed="false">
      <c r="A211" s="117"/>
      <c r="B211" s="122" t="s">
        <v>62</v>
      </c>
      <c r="C211" s="123"/>
      <c r="D211" s="124"/>
      <c r="E211" s="119"/>
      <c r="F211" s="119"/>
      <c r="G211" s="119" t="n">
        <v>120</v>
      </c>
      <c r="H211" s="119"/>
      <c r="I211" s="119"/>
      <c r="J211" s="23" t="n">
        <f aca="false">SUM(E211+F211+G211+H211+I211)</f>
        <v>120</v>
      </c>
      <c r="K211" s="120" t="n">
        <v>46119</v>
      </c>
      <c r="L211" s="121"/>
    </row>
    <row r="212" customFormat="false" ht="15" hidden="false" customHeight="false" outlineLevel="0" collapsed="false">
      <c r="A212" s="117"/>
      <c r="B212" s="122" t="s">
        <v>62</v>
      </c>
      <c r="C212" s="123"/>
      <c r="D212" s="124"/>
      <c r="E212" s="119"/>
      <c r="F212" s="119"/>
      <c r="G212" s="119" t="n">
        <v>120</v>
      </c>
      <c r="H212" s="119"/>
      <c r="I212" s="119"/>
      <c r="J212" s="23" t="n">
        <f aca="false">SUM(E212+F212+G212+H212+I212)</f>
        <v>120</v>
      </c>
      <c r="K212" s="120" t="n">
        <v>46126</v>
      </c>
      <c r="L212" s="121"/>
      <c r="N212" s="16" t="s">
        <v>116</v>
      </c>
      <c r="O212" s="126" t="n">
        <v>350</v>
      </c>
      <c r="P212" s="126" t="n">
        <v>400</v>
      </c>
    </row>
    <row r="213" customFormat="false" ht="15" hidden="false" customHeight="false" outlineLevel="0" collapsed="false">
      <c r="A213" s="117"/>
      <c r="B213" s="122" t="s">
        <v>62</v>
      </c>
      <c r="C213" s="123"/>
      <c r="D213" s="124"/>
      <c r="E213" s="119"/>
      <c r="F213" s="119"/>
      <c r="G213" s="119" t="n">
        <v>120</v>
      </c>
      <c r="H213" s="119"/>
      <c r="I213" s="119"/>
      <c r="J213" s="23" t="n">
        <f aca="false">SUM(E213+F213+G213+H213+I213)</f>
        <v>120</v>
      </c>
      <c r="K213" s="120" t="n">
        <v>46133</v>
      </c>
      <c r="L213" s="121"/>
      <c r="N213" s="6" t="n">
        <v>1</v>
      </c>
      <c r="O213" s="18" t="n">
        <v>285</v>
      </c>
      <c r="P213" s="18" t="n">
        <v>335</v>
      </c>
    </row>
    <row r="214" customFormat="false" ht="15" hidden="false" customHeight="false" outlineLevel="0" collapsed="false">
      <c r="A214" s="117"/>
      <c r="B214" s="147" t="s">
        <v>211</v>
      </c>
      <c r="C214" s="148"/>
      <c r="D214" s="149"/>
      <c r="E214" s="150"/>
      <c r="F214" s="150"/>
      <c r="G214" s="150" t="n">
        <v>500</v>
      </c>
      <c r="H214" s="150"/>
      <c r="I214" s="150"/>
      <c r="J214" s="23" t="n">
        <f aca="false">SUM(E214+F214+G214+H214+I214)</f>
        <v>500</v>
      </c>
      <c r="K214" s="120" t="n">
        <v>46133</v>
      </c>
      <c r="L214" s="127" t="s">
        <v>212</v>
      </c>
      <c r="N214" s="6" t="n">
        <v>2</v>
      </c>
      <c r="O214" s="18" t="n">
        <f aca="false">285*2</f>
        <v>570</v>
      </c>
      <c r="P214" s="18" t="n">
        <v>670</v>
      </c>
    </row>
    <row r="215" customFormat="false" ht="15" hidden="false" customHeight="false" outlineLevel="0" collapsed="false">
      <c r="A215" s="117" t="s">
        <v>213</v>
      </c>
      <c r="B215" s="118" t="s">
        <v>214</v>
      </c>
      <c r="C215" s="118"/>
      <c r="D215" s="118"/>
      <c r="E215" s="119" t="n">
        <v>285</v>
      </c>
      <c r="F215" s="119" t="n">
        <v>50</v>
      </c>
      <c r="G215" s="119"/>
      <c r="H215" s="119" t="n">
        <v>15</v>
      </c>
      <c r="I215" s="119"/>
      <c r="J215" s="23" t="n">
        <f aca="false">SUM(E215+F215+G215+H215+I215)</f>
        <v>350</v>
      </c>
      <c r="K215" s="120" t="n">
        <v>46140</v>
      </c>
      <c r="L215" s="121" t="s">
        <v>215</v>
      </c>
      <c r="N215" s="6" t="n">
        <v>3</v>
      </c>
      <c r="O215" s="18" t="n">
        <f aca="false">285*3</f>
        <v>855</v>
      </c>
      <c r="P215" s="18" t="n">
        <v>1005</v>
      </c>
    </row>
    <row r="216" customFormat="false" ht="15" hidden="false" customHeight="false" outlineLevel="0" collapsed="false">
      <c r="A216" s="117"/>
      <c r="B216" s="118" t="s">
        <v>62</v>
      </c>
      <c r="C216" s="118"/>
      <c r="D216" s="118"/>
      <c r="E216" s="119"/>
      <c r="F216" s="119"/>
      <c r="G216" s="119" t="n">
        <v>120</v>
      </c>
      <c r="H216" s="119"/>
      <c r="I216" s="119"/>
      <c r="J216" s="23" t="n">
        <f aca="false">SUM(E216+F216+G216+H216+I216)</f>
        <v>120</v>
      </c>
      <c r="K216" s="120" t="n">
        <v>46140</v>
      </c>
      <c r="L216" s="125"/>
      <c r="N216" s="6" t="n">
        <v>4</v>
      </c>
      <c r="O216" s="18" t="n">
        <f aca="false">285*4</f>
        <v>1140</v>
      </c>
      <c r="P216" s="18" t="n">
        <v>1340</v>
      </c>
    </row>
    <row r="217" customFormat="false" ht="15" hidden="false" customHeight="false" outlineLevel="0" collapsed="false">
      <c r="A217" s="117"/>
      <c r="B217" s="118"/>
      <c r="C217" s="118"/>
      <c r="D217" s="118"/>
      <c r="E217" s="106" t="n">
        <f aca="false">SUM(E202:E216)</f>
        <v>4275</v>
      </c>
      <c r="F217" s="106" t="n">
        <f aca="false">SUM(F202:F216)</f>
        <v>750</v>
      </c>
      <c r="G217" s="106" t="n">
        <f aca="false">SUM(G202:G216)</f>
        <v>1100</v>
      </c>
      <c r="H217" s="106" t="n">
        <f aca="false">SUM(H202:H216)</f>
        <v>225</v>
      </c>
      <c r="I217" s="106" t="n">
        <f aca="false">SUM(I202:I216)</f>
        <v>50</v>
      </c>
      <c r="J217" s="23" t="n">
        <f aca="false">SUM(E217+F217+G217+H217+I217)</f>
        <v>6400</v>
      </c>
      <c r="K217" s="6"/>
      <c r="L217" s="121"/>
      <c r="N217" s="6" t="n">
        <v>6</v>
      </c>
      <c r="O217" s="18" t="n">
        <f aca="false">285*6</f>
        <v>1710</v>
      </c>
      <c r="P217" s="18" t="n">
        <v>2010</v>
      </c>
    </row>
    <row r="218" customFormat="false" ht="15" hidden="false" customHeight="false" outlineLevel="0" collapsed="false">
      <c r="A218" s="77"/>
      <c r="B218" s="78"/>
      <c r="C218" s="78"/>
      <c r="D218" s="78"/>
      <c r="E218" s="79"/>
      <c r="F218" s="79"/>
      <c r="G218" s="80"/>
      <c r="H218" s="80"/>
      <c r="I218" s="80"/>
      <c r="J218" s="81"/>
      <c r="N218" s="1" t="s">
        <v>21</v>
      </c>
    </row>
    <row r="219" customFormat="false" ht="15" hidden="false" customHeight="false" outlineLevel="0" collapsed="false">
      <c r="A219" s="82"/>
      <c r="B219" s="83"/>
      <c r="C219" s="83"/>
      <c r="D219" s="83"/>
      <c r="E219" s="80"/>
      <c r="F219" s="80"/>
      <c r="G219" s="84"/>
      <c r="H219" s="84"/>
      <c r="I219" s="84"/>
      <c r="J219" s="85"/>
    </row>
    <row r="220" customFormat="false" ht="15" hidden="false" customHeight="false" outlineLevel="0" collapsed="false">
      <c r="C220" s="55" t="s">
        <v>75</v>
      </c>
      <c r="D220" s="55"/>
      <c r="E220" s="55"/>
      <c r="F220" s="55"/>
      <c r="G220" s="55"/>
      <c r="H220" s="55"/>
      <c r="I220" s="55"/>
    </row>
    <row r="221" customFormat="false" ht="15" hidden="false" customHeight="true" outlineLevel="0" collapsed="false">
      <c r="A221" s="86" t="s">
        <v>76</v>
      </c>
      <c r="B221" s="87" t="s">
        <v>77</v>
      </c>
      <c r="C221" s="87"/>
      <c r="D221" s="87"/>
      <c r="E221" s="88" t="s">
        <v>78</v>
      </c>
      <c r="F221" s="88"/>
      <c r="G221" s="88"/>
      <c r="H221" s="88"/>
      <c r="I221" s="88"/>
      <c r="J221" s="88"/>
      <c r="K221" s="86" t="s">
        <v>59</v>
      </c>
      <c r="L221" s="89" t="s">
        <v>79</v>
      </c>
    </row>
    <row r="222" customFormat="false" ht="15" hidden="false" customHeight="false" outlineLevel="0" collapsed="false">
      <c r="A222" s="86"/>
      <c r="B222" s="87"/>
      <c r="C222" s="87"/>
      <c r="D222" s="87"/>
      <c r="E222" s="16" t="s">
        <v>53</v>
      </c>
      <c r="F222" s="16" t="s">
        <v>80</v>
      </c>
      <c r="G222" s="90" t="s">
        <v>81</v>
      </c>
      <c r="H222" s="91" t="s">
        <v>56</v>
      </c>
      <c r="I222" s="90" t="s">
        <v>82</v>
      </c>
      <c r="J222" s="92" t="s">
        <v>58</v>
      </c>
      <c r="K222" s="86"/>
      <c r="L222" s="89"/>
    </row>
    <row r="223" customFormat="false" ht="15" hidden="false" customHeight="false" outlineLevel="0" collapsed="false">
      <c r="A223" s="93" t="n">
        <v>1</v>
      </c>
      <c r="B223" s="129" t="s">
        <v>216</v>
      </c>
      <c r="C223" s="129"/>
      <c r="D223" s="129"/>
      <c r="E223" s="102" t="s">
        <v>21</v>
      </c>
      <c r="F223" s="102"/>
      <c r="G223" s="102" t="n">
        <v>1500</v>
      </c>
      <c r="H223" s="103"/>
      <c r="I223" s="104"/>
      <c r="J223" s="18"/>
      <c r="K223" s="130" t="s">
        <v>21</v>
      </c>
      <c r="L223" s="131" t="s">
        <v>21</v>
      </c>
    </row>
    <row r="224" customFormat="false" ht="15" hidden="false" customHeight="false" outlineLevel="0" collapsed="false">
      <c r="A224" s="93" t="n">
        <v>2</v>
      </c>
      <c r="B224" s="129" t="s">
        <v>217</v>
      </c>
      <c r="C224" s="129"/>
      <c r="D224" s="129"/>
      <c r="E224" s="102" t="s">
        <v>21</v>
      </c>
      <c r="F224" s="102"/>
      <c r="G224" s="102" t="n">
        <v>500</v>
      </c>
      <c r="H224" s="103"/>
      <c r="I224" s="104"/>
      <c r="J224" s="6"/>
      <c r="K224" s="6"/>
      <c r="L224" s="132" t="s">
        <v>21</v>
      </c>
    </row>
    <row r="225" customFormat="false" ht="15" hidden="false" customHeight="false" outlineLevel="0" collapsed="false">
      <c r="A225" s="93" t="n">
        <v>3</v>
      </c>
      <c r="B225" s="129" t="s">
        <v>218</v>
      </c>
      <c r="C225" s="129"/>
      <c r="D225" s="129"/>
      <c r="E225" s="102" t="n">
        <v>4188</v>
      </c>
      <c r="F225" s="102"/>
      <c r="G225" s="102"/>
      <c r="H225" s="103"/>
      <c r="I225" s="104"/>
      <c r="J225" s="6"/>
      <c r="K225" s="6"/>
      <c r="L225" s="132"/>
    </row>
    <row r="226" customFormat="false" ht="15" hidden="false" customHeight="false" outlineLevel="0" collapsed="false">
      <c r="A226" s="93" t="n">
        <v>4</v>
      </c>
      <c r="B226" s="129" t="s">
        <v>219</v>
      </c>
      <c r="C226" s="129"/>
      <c r="D226" s="129"/>
      <c r="E226" s="102" t="s">
        <v>21</v>
      </c>
      <c r="F226" s="102"/>
      <c r="G226" s="102"/>
      <c r="H226" s="103" t="n">
        <v>519</v>
      </c>
      <c r="I226" s="104"/>
      <c r="J226" s="6"/>
      <c r="K226" s="6"/>
      <c r="L226" s="132"/>
    </row>
    <row r="227" customFormat="false" ht="15" hidden="false" customHeight="false" outlineLevel="0" collapsed="false">
      <c r="A227" s="93" t="n">
        <v>5</v>
      </c>
      <c r="B227" s="129" t="s">
        <v>220</v>
      </c>
      <c r="C227" s="129"/>
      <c r="D227" s="129"/>
      <c r="E227" s="102" t="n">
        <v>826</v>
      </c>
      <c r="F227" s="102"/>
      <c r="G227" s="18"/>
      <c r="H227" s="104"/>
      <c r="I227" s="104"/>
      <c r="J227" s="6"/>
      <c r="K227" s="6"/>
      <c r="L227" s="132"/>
    </row>
    <row r="228" customFormat="false" ht="15" hidden="false" customHeight="false" outlineLevel="0" collapsed="false">
      <c r="A228" s="6"/>
      <c r="B228" s="101"/>
      <c r="C228" s="101"/>
      <c r="D228" s="101"/>
      <c r="E228" s="22" t="n">
        <f aca="false">SUM(E223:E227)</f>
        <v>5014</v>
      </c>
      <c r="F228" s="22" t="n">
        <f aca="false">SUM(F223:F227)</f>
        <v>0</v>
      </c>
      <c r="G228" s="22" t="n">
        <f aca="false">SUM(G223:G227)</f>
        <v>2000</v>
      </c>
      <c r="H228" s="22" t="n">
        <f aca="false">SUM(H223:H227)</f>
        <v>519</v>
      </c>
      <c r="I228" s="22" t="n">
        <f aca="false">SUM(I223:I227)</f>
        <v>0</v>
      </c>
      <c r="J228" s="22" t="n">
        <f aca="false">E228+F228+G228+H228+I228</f>
        <v>7533</v>
      </c>
      <c r="K228" s="6"/>
      <c r="L228" s="132"/>
    </row>
    <row r="229" customFormat="false" ht="15" hidden="false" customHeight="false" outlineLevel="0" collapsed="false">
      <c r="A229" s="85"/>
      <c r="B229" s="78"/>
      <c r="C229" s="78"/>
      <c r="D229" s="78"/>
      <c r="E229" s="105"/>
      <c r="F229" s="105"/>
      <c r="G229" s="105"/>
      <c r="H229" s="105"/>
      <c r="I229" s="105"/>
      <c r="J229" s="85"/>
    </row>
    <row r="230" customFormat="false" ht="15" hidden="false" customHeight="false" outlineLevel="0" collapsed="false">
      <c r="A230" s="85"/>
      <c r="B230" s="83"/>
      <c r="C230" s="83"/>
      <c r="D230" s="83"/>
      <c r="E230" s="105"/>
      <c r="F230" s="105"/>
      <c r="G230" s="105"/>
      <c r="H230" s="106" t="s">
        <v>85</v>
      </c>
      <c r="I230" s="106"/>
      <c r="J230" s="21" t="n">
        <f aca="false">J217-J228</f>
        <v>-1133</v>
      </c>
    </row>
    <row r="231" customFormat="false" ht="15" hidden="false" customHeight="false" outlineLevel="0" collapsed="false">
      <c r="A231" s="85"/>
      <c r="B231" s="83"/>
      <c r="C231" s="83"/>
      <c r="D231" s="83"/>
      <c r="E231" s="105"/>
      <c r="F231" s="105"/>
      <c r="G231" s="105"/>
      <c r="H231" s="105"/>
      <c r="I231" s="105"/>
      <c r="J231" s="85"/>
    </row>
    <row r="232" customFormat="false" ht="15" hidden="false" customHeight="false" outlineLevel="0" collapsed="false">
      <c r="A232" s="85"/>
      <c r="B232" s="36" t="s">
        <v>86</v>
      </c>
      <c r="C232" s="36"/>
      <c r="D232" s="107"/>
      <c r="E232" s="36" t="s">
        <v>87</v>
      </c>
      <c r="F232" s="36"/>
      <c r="G232" s="36"/>
      <c r="H232" s="54"/>
      <c r="I232" s="107"/>
      <c r="J232" s="36" t="s">
        <v>88</v>
      </c>
      <c r="K232" s="36"/>
    </row>
    <row r="233" customFormat="false" ht="15" hidden="false" customHeight="false" outlineLevel="0" collapsed="false">
      <c r="A233" s="85"/>
      <c r="C233" s="107"/>
      <c r="D233" s="107"/>
      <c r="E233" s="107"/>
      <c r="F233" s="107"/>
      <c r="G233" s="107"/>
      <c r="H233" s="107"/>
      <c r="I233" s="107"/>
    </row>
    <row r="234" customFormat="false" ht="15" hidden="false" customHeight="false" outlineLevel="0" collapsed="false">
      <c r="A234" s="85"/>
      <c r="B234" s="108" t="s">
        <v>17</v>
      </c>
      <c r="C234" s="108"/>
      <c r="D234" s="108"/>
      <c r="E234" s="109" t="s">
        <v>22</v>
      </c>
      <c r="F234" s="109"/>
      <c r="G234" s="109"/>
      <c r="H234" s="110"/>
      <c r="J234" s="111" t="s">
        <v>19</v>
      </c>
      <c r="K234" s="111"/>
      <c r="L234" s="111"/>
    </row>
    <row r="235" customFormat="false" ht="15" hidden="false" customHeight="false" outlineLevel="0" collapsed="false">
      <c r="A235" s="85"/>
      <c r="B235" s="36" t="s">
        <v>89</v>
      </c>
      <c r="C235" s="36"/>
      <c r="D235" s="107"/>
      <c r="E235" s="36" t="s">
        <v>90</v>
      </c>
      <c r="F235" s="36"/>
      <c r="G235" s="36"/>
      <c r="H235" s="54"/>
      <c r="J235" s="36" t="s">
        <v>91</v>
      </c>
      <c r="K235" s="36"/>
    </row>
    <row r="236" customFormat="false" ht="15" hidden="false" customHeight="false" outlineLevel="0" collapsed="false">
      <c r="A236" s="85"/>
      <c r="B236" s="83"/>
      <c r="C236" s="83"/>
      <c r="D236" s="83"/>
      <c r="E236" s="105"/>
      <c r="F236" s="105"/>
      <c r="G236" s="105"/>
      <c r="H236" s="105"/>
      <c r="I236" s="105"/>
      <c r="J236" s="85"/>
    </row>
    <row r="240" customFormat="false" ht="15" hidden="false" customHeight="false" outlineLevel="0" collapsed="false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</row>
    <row r="241" customFormat="false" ht="18.75" hidden="false" customHeight="true" outlineLevel="0" collapsed="false">
      <c r="C241" s="47"/>
      <c r="D241" s="48" t="s">
        <v>44</v>
      </c>
      <c r="E241" s="48"/>
      <c r="F241" s="48"/>
      <c r="G241" s="48"/>
      <c r="H241" s="48"/>
      <c r="I241" s="48"/>
      <c r="J241" s="48"/>
      <c r="K241" s="49"/>
      <c r="L241" s="49"/>
    </row>
    <row r="242" customFormat="false" ht="15" hidden="false" customHeight="false" outlineLevel="0" collapsed="false">
      <c r="G242" s="36"/>
      <c r="H242" s="36"/>
      <c r="I242" s="36"/>
      <c r="J242" s="36"/>
    </row>
    <row r="243" customFormat="false" ht="15" hidden="false" customHeight="false" outlineLevel="0" collapsed="false">
      <c r="B243" s="50" t="s">
        <v>221</v>
      </c>
      <c r="C243" s="50"/>
      <c r="D243" s="50"/>
      <c r="E243" s="50"/>
      <c r="F243" s="50"/>
      <c r="G243" s="50"/>
      <c r="H243" s="50"/>
      <c r="I243" s="50"/>
      <c r="J243" s="50"/>
      <c r="K243" s="50"/>
    </row>
    <row r="244" customFormat="false" ht="15" hidden="false" customHeight="false" outlineLevel="0" collapsed="false">
      <c r="B244" s="50" t="s">
        <v>46</v>
      </c>
      <c r="C244" s="51" t="n">
        <v>300</v>
      </c>
      <c r="D244" s="50"/>
      <c r="E244" s="52" t="s">
        <v>47</v>
      </c>
      <c r="F244" s="50"/>
      <c r="G244" s="53" t="n">
        <v>50</v>
      </c>
      <c r="H244" s="53"/>
      <c r="I244" s="54" t="s">
        <v>48</v>
      </c>
      <c r="J244" s="54" t="n">
        <v>15</v>
      </c>
    </row>
    <row r="245" customFormat="false" ht="15" hidden="false" customHeight="false" outlineLevel="0" collapsed="false">
      <c r="B245" s="50"/>
      <c r="C245" s="51"/>
      <c r="D245" s="50"/>
      <c r="E245" s="52"/>
      <c r="F245" s="50"/>
      <c r="G245" s="53"/>
      <c r="H245" s="53"/>
      <c r="I245" s="54"/>
      <c r="J245" s="54"/>
    </row>
    <row r="246" customFormat="false" ht="15" hidden="false" customHeight="false" outlineLevel="0" collapsed="false">
      <c r="E246" s="55" t="s">
        <v>49</v>
      </c>
      <c r="F246" s="55"/>
      <c r="G246" s="55"/>
      <c r="H246" s="55"/>
      <c r="I246" s="55"/>
      <c r="J246" s="56"/>
      <c r="K246" s="56"/>
    </row>
    <row r="247" customFormat="false" ht="15" hidden="false" customHeight="false" outlineLevel="0" collapsed="false">
      <c r="A247" s="57" t="s">
        <v>51</v>
      </c>
      <c r="B247" s="58" t="s">
        <v>52</v>
      </c>
      <c r="C247" s="58"/>
      <c r="D247" s="58"/>
      <c r="E247" s="59" t="s">
        <v>53</v>
      </c>
      <c r="F247" s="60" t="s">
        <v>54</v>
      </c>
      <c r="G247" s="61" t="s">
        <v>55</v>
      </c>
      <c r="H247" s="61" t="s">
        <v>56</v>
      </c>
      <c r="I247" s="62" t="s">
        <v>57</v>
      </c>
      <c r="J247" s="59" t="s">
        <v>58</v>
      </c>
      <c r="K247" s="59" t="s">
        <v>59</v>
      </c>
      <c r="L247" s="59" t="s">
        <v>60</v>
      </c>
    </row>
    <row r="248" customFormat="false" ht="15" hidden="false" customHeight="false" outlineLevel="0" collapsed="false">
      <c r="A248" s="63" t="s">
        <v>222</v>
      </c>
      <c r="B248" s="64" t="s">
        <v>223</v>
      </c>
      <c r="C248" s="64"/>
      <c r="D248" s="64"/>
      <c r="E248" s="141" t="n">
        <v>570</v>
      </c>
      <c r="F248" s="141" t="n">
        <v>100</v>
      </c>
      <c r="G248" s="141"/>
      <c r="H248" s="141" t="n">
        <v>30</v>
      </c>
      <c r="I248" s="141"/>
      <c r="J248" s="67" t="n">
        <f aca="false">SUM(E248+F248+G248+H248+I248)</f>
        <v>700</v>
      </c>
      <c r="K248" s="68" t="n">
        <v>46147</v>
      </c>
      <c r="L248" s="151"/>
      <c r="N248" s="16" t="s">
        <v>116</v>
      </c>
      <c r="O248" s="126" t="n">
        <v>350</v>
      </c>
      <c r="P248" s="126" t="n">
        <v>400</v>
      </c>
    </row>
    <row r="249" customFormat="false" ht="15" hidden="false" customHeight="false" outlineLevel="0" collapsed="false">
      <c r="A249" s="63" t="s">
        <v>224</v>
      </c>
      <c r="B249" s="64" t="s">
        <v>225</v>
      </c>
      <c r="C249" s="64"/>
      <c r="D249" s="64"/>
      <c r="E249" s="141" t="n">
        <v>285</v>
      </c>
      <c r="F249" s="141" t="n">
        <v>50</v>
      </c>
      <c r="G249" s="141"/>
      <c r="H249" s="141" t="n">
        <v>15</v>
      </c>
      <c r="I249" s="141"/>
      <c r="J249" s="67" t="n">
        <f aca="false">SUM(E249+F249+G249+H249+I249)</f>
        <v>350</v>
      </c>
      <c r="K249" s="68" t="n">
        <v>46147</v>
      </c>
      <c r="L249" s="69"/>
      <c r="N249" s="6" t="n">
        <v>1</v>
      </c>
      <c r="O249" s="18" t="n">
        <v>285</v>
      </c>
      <c r="P249" s="18" t="n">
        <v>335</v>
      </c>
    </row>
    <row r="250" customFormat="false" ht="15" hidden="false" customHeight="false" outlineLevel="0" collapsed="false">
      <c r="A250" s="63" t="s">
        <v>226</v>
      </c>
      <c r="B250" s="64" t="s">
        <v>227</v>
      </c>
      <c r="C250" s="64"/>
      <c r="D250" s="64"/>
      <c r="E250" s="141" t="n">
        <v>570</v>
      </c>
      <c r="F250" s="141" t="n">
        <v>100</v>
      </c>
      <c r="G250" s="141"/>
      <c r="H250" s="141" t="n">
        <v>30</v>
      </c>
      <c r="I250" s="141"/>
      <c r="J250" s="67" t="n">
        <f aca="false">SUM(E250+F250+G250+H250+I250)</f>
        <v>700</v>
      </c>
      <c r="K250" s="68" t="n">
        <v>46147</v>
      </c>
      <c r="L250" s="69"/>
      <c r="N250" s="6" t="n">
        <v>2</v>
      </c>
      <c r="O250" s="18" t="n">
        <f aca="false">285*2</f>
        <v>570</v>
      </c>
      <c r="P250" s="18" t="n">
        <v>670</v>
      </c>
    </row>
    <row r="251" customFormat="false" ht="15" hidden="false" customHeight="false" outlineLevel="0" collapsed="false">
      <c r="A251" s="63"/>
      <c r="B251" s="70" t="s">
        <v>228</v>
      </c>
      <c r="C251" s="71"/>
      <c r="D251" s="72"/>
      <c r="E251" s="141"/>
      <c r="F251" s="141"/>
      <c r="G251" s="141" t="n">
        <v>195</v>
      </c>
      <c r="H251" s="141"/>
      <c r="I251" s="141"/>
      <c r="J251" s="67" t="n">
        <f aca="false">SUM(E251+F251+G251+H251+I251)</f>
        <v>195</v>
      </c>
      <c r="K251" s="68" t="n">
        <v>46147</v>
      </c>
      <c r="L251" s="73"/>
      <c r="N251" s="6" t="n">
        <v>3</v>
      </c>
      <c r="O251" s="18" t="n">
        <f aca="false">285*3</f>
        <v>855</v>
      </c>
      <c r="P251" s="18" t="n">
        <v>1005</v>
      </c>
    </row>
    <row r="252" customFormat="false" ht="15" hidden="false" customHeight="false" outlineLevel="0" collapsed="false">
      <c r="A252" s="63" t="s">
        <v>229</v>
      </c>
      <c r="B252" s="70" t="s">
        <v>230</v>
      </c>
      <c r="C252" s="71"/>
      <c r="D252" s="72"/>
      <c r="E252" s="141" t="n">
        <v>285</v>
      </c>
      <c r="F252" s="141" t="n">
        <v>50</v>
      </c>
      <c r="G252" s="141"/>
      <c r="H252" s="141" t="n">
        <v>15</v>
      </c>
      <c r="I252" s="141"/>
      <c r="J252" s="67" t="n">
        <f aca="false">SUM(E252+F252+G252+H252+I252)</f>
        <v>350</v>
      </c>
      <c r="K252" s="68" t="n">
        <v>46154</v>
      </c>
      <c r="L252" s="69"/>
      <c r="N252" s="6" t="n">
        <v>4</v>
      </c>
      <c r="O252" s="18" t="n">
        <f aca="false">285*4</f>
        <v>1140</v>
      </c>
      <c r="P252" s="18" t="n">
        <v>1340</v>
      </c>
    </row>
    <row r="253" customFormat="false" ht="15" hidden="false" customHeight="false" outlineLevel="0" collapsed="false">
      <c r="A253" s="63" t="s">
        <v>231</v>
      </c>
      <c r="B253" s="70" t="s">
        <v>232</v>
      </c>
      <c r="C253" s="71"/>
      <c r="D253" s="72"/>
      <c r="E253" s="141" t="n">
        <v>285</v>
      </c>
      <c r="F253" s="141" t="n">
        <v>50</v>
      </c>
      <c r="G253" s="141"/>
      <c r="H253" s="141" t="n">
        <v>15</v>
      </c>
      <c r="I253" s="141"/>
      <c r="J253" s="67" t="n">
        <f aca="false">SUM(E253+F253+G253+H253+I253)</f>
        <v>350</v>
      </c>
      <c r="K253" s="68" t="n">
        <v>46154</v>
      </c>
      <c r="L253" s="69"/>
      <c r="N253" s="6" t="n">
        <v>6</v>
      </c>
      <c r="O253" s="18" t="n">
        <f aca="false">285*6</f>
        <v>1710</v>
      </c>
      <c r="P253" s="18" t="n">
        <v>2010</v>
      </c>
    </row>
    <row r="254" customFormat="false" ht="15" hidden="false" customHeight="false" outlineLevel="0" collapsed="false">
      <c r="A254" s="63"/>
      <c r="B254" s="70" t="s">
        <v>228</v>
      </c>
      <c r="C254" s="71"/>
      <c r="D254" s="72"/>
      <c r="E254" s="141"/>
      <c r="F254" s="141"/>
      <c r="G254" s="141" t="n">
        <v>150</v>
      </c>
      <c r="H254" s="141"/>
      <c r="I254" s="141"/>
      <c r="J254" s="67" t="n">
        <f aca="false">SUM(E254+F254+G254+H254+I254)</f>
        <v>150</v>
      </c>
      <c r="K254" s="68" t="n">
        <v>46154</v>
      </c>
      <c r="L254" s="69"/>
    </row>
    <row r="255" customFormat="false" ht="15" hidden="false" customHeight="false" outlineLevel="0" collapsed="false">
      <c r="A255" s="63"/>
      <c r="B255" s="64"/>
      <c r="C255" s="64"/>
      <c r="D255" s="64"/>
      <c r="E255" s="75" t="n">
        <f aca="false">SUM(E248:E254)</f>
        <v>1995</v>
      </c>
      <c r="F255" s="75" t="n">
        <f aca="false">SUM(F248:F254)</f>
        <v>350</v>
      </c>
      <c r="G255" s="75" t="n">
        <f aca="false">SUM(G248:G254)</f>
        <v>345</v>
      </c>
      <c r="H255" s="75" t="n">
        <f aca="false">SUM(H248:H254)</f>
        <v>105</v>
      </c>
      <c r="I255" s="75" t="n">
        <f aca="false">SUM(I248:I254)</f>
        <v>0</v>
      </c>
      <c r="J255" s="67" t="n">
        <f aca="false">SUM(E255+F255+G255+H255+I255)</f>
        <v>2795</v>
      </c>
      <c r="K255" s="76"/>
      <c r="L255" s="69"/>
    </row>
    <row r="256" customFormat="false" ht="15" hidden="false" customHeight="false" outlineLevel="0" collapsed="false">
      <c r="A256" s="77"/>
      <c r="B256" s="78"/>
      <c r="C256" s="78"/>
      <c r="D256" s="78"/>
      <c r="E256" s="79"/>
      <c r="F256" s="79"/>
      <c r="G256" s="80"/>
      <c r="H256" s="80"/>
      <c r="I256" s="80"/>
      <c r="J256" s="81"/>
    </row>
    <row r="257" customFormat="false" ht="15" hidden="false" customHeight="false" outlineLevel="0" collapsed="false">
      <c r="A257" s="82"/>
      <c r="B257" s="83"/>
      <c r="C257" s="83"/>
      <c r="D257" s="83"/>
      <c r="E257" s="80"/>
      <c r="F257" s="80"/>
      <c r="G257" s="84"/>
      <c r="H257" s="84"/>
      <c r="I257" s="84"/>
      <c r="J257" s="85"/>
    </row>
    <row r="258" customFormat="false" ht="15" hidden="false" customHeight="false" outlineLevel="0" collapsed="false">
      <c r="C258" s="55" t="s">
        <v>75</v>
      </c>
      <c r="D258" s="55"/>
      <c r="E258" s="55"/>
      <c r="F258" s="55"/>
      <c r="G258" s="55"/>
      <c r="H258" s="55"/>
      <c r="I258" s="55"/>
    </row>
    <row r="259" customFormat="false" ht="15" hidden="false" customHeight="true" outlineLevel="0" collapsed="false">
      <c r="A259" s="86" t="s">
        <v>76</v>
      </c>
      <c r="B259" s="87" t="s">
        <v>77</v>
      </c>
      <c r="C259" s="87"/>
      <c r="D259" s="87"/>
      <c r="E259" s="88" t="s">
        <v>78</v>
      </c>
      <c r="F259" s="88"/>
      <c r="G259" s="88"/>
      <c r="H259" s="88"/>
      <c r="I259" s="88"/>
      <c r="J259" s="88"/>
      <c r="K259" s="86" t="s">
        <v>59</v>
      </c>
      <c r="L259" s="89" t="s">
        <v>79</v>
      </c>
    </row>
    <row r="260" customFormat="false" ht="15" hidden="false" customHeight="false" outlineLevel="0" collapsed="false">
      <c r="A260" s="86"/>
      <c r="B260" s="87"/>
      <c r="C260" s="87"/>
      <c r="D260" s="87"/>
      <c r="E260" s="16" t="s">
        <v>53</v>
      </c>
      <c r="F260" s="16" t="s">
        <v>80</v>
      </c>
      <c r="G260" s="90" t="s">
        <v>81</v>
      </c>
      <c r="H260" s="91" t="s">
        <v>56</v>
      </c>
      <c r="I260" s="90" t="s">
        <v>82</v>
      </c>
      <c r="J260" s="92" t="s">
        <v>58</v>
      </c>
      <c r="K260" s="86"/>
      <c r="L260" s="89"/>
    </row>
    <row r="261" customFormat="false" ht="15" hidden="false" customHeight="false" outlineLevel="0" collapsed="false">
      <c r="A261" s="93" t="n">
        <v>1</v>
      </c>
      <c r="B261" s="94" t="s">
        <v>233</v>
      </c>
      <c r="C261" s="94"/>
      <c r="D261" s="94"/>
      <c r="E261" s="95" t="n">
        <v>3090</v>
      </c>
      <c r="F261" s="95"/>
      <c r="G261" s="95"/>
      <c r="H261" s="96"/>
      <c r="I261" s="97"/>
      <c r="J261" s="152" t="n">
        <f aca="false">E261+F261+G261+H261+I261</f>
        <v>3090</v>
      </c>
      <c r="K261" s="98" t="s">
        <v>21</v>
      </c>
      <c r="L261" s="153" t="s">
        <v>21</v>
      </c>
    </row>
    <row r="262" customFormat="false" ht="15" hidden="false" customHeight="false" outlineLevel="0" collapsed="false">
      <c r="A262" s="93"/>
      <c r="B262" s="94" t="s">
        <v>234</v>
      </c>
      <c r="C262" s="94"/>
      <c r="D262" s="94"/>
      <c r="E262" s="95" t="n">
        <v>150</v>
      </c>
      <c r="F262" s="95"/>
      <c r="G262" s="95"/>
      <c r="H262" s="96"/>
      <c r="I262" s="97"/>
      <c r="J262" s="152" t="n">
        <f aca="false">E262+F262+G262+H262+I262</f>
        <v>150</v>
      </c>
      <c r="K262" s="76"/>
      <c r="L262" s="145" t="s">
        <v>21</v>
      </c>
    </row>
    <row r="263" customFormat="false" ht="15" hidden="false" customHeight="false" outlineLevel="0" collapsed="false">
      <c r="A263" s="93"/>
      <c r="B263" s="94" t="s">
        <v>21</v>
      </c>
      <c r="C263" s="94"/>
      <c r="D263" s="94"/>
      <c r="E263" s="95"/>
      <c r="F263" s="95" t="n">
        <v>0</v>
      </c>
      <c r="G263" s="95"/>
      <c r="H263" s="96"/>
      <c r="I263" s="97"/>
      <c r="J263" s="152" t="n">
        <f aca="false">E263+F263+G263+H263+I263</f>
        <v>0</v>
      </c>
      <c r="K263" s="76"/>
      <c r="L263" s="145"/>
    </row>
    <row r="264" customFormat="false" ht="15" hidden="false" customHeight="false" outlineLevel="0" collapsed="false">
      <c r="A264" s="93"/>
      <c r="B264" s="129"/>
      <c r="C264" s="129"/>
      <c r="D264" s="129"/>
      <c r="E264" s="102"/>
      <c r="F264" s="102"/>
      <c r="G264" s="102"/>
      <c r="H264" s="103"/>
      <c r="I264" s="104"/>
      <c r="J264" s="18" t="n">
        <f aca="false">E264+F264+G264+H264+I264</f>
        <v>0</v>
      </c>
      <c r="K264" s="6"/>
      <c r="L264" s="132"/>
    </row>
    <row r="265" customFormat="false" ht="15" hidden="false" customHeight="false" outlineLevel="0" collapsed="false">
      <c r="A265" s="93"/>
      <c r="B265" s="129"/>
      <c r="C265" s="129"/>
      <c r="D265" s="129"/>
      <c r="E265" s="102"/>
      <c r="F265" s="102"/>
      <c r="G265" s="18"/>
      <c r="H265" s="104"/>
      <c r="I265" s="104"/>
      <c r="J265" s="18" t="n">
        <f aca="false">E265+F265+G265+H265+I265</f>
        <v>0</v>
      </c>
      <c r="K265" s="6"/>
      <c r="L265" s="132"/>
    </row>
    <row r="266" customFormat="false" ht="15" hidden="false" customHeight="false" outlineLevel="0" collapsed="false">
      <c r="A266" s="6"/>
      <c r="B266" s="101"/>
      <c r="C266" s="101"/>
      <c r="D266" s="101"/>
      <c r="E266" s="22" t="n">
        <f aca="false">SUM(E261:E265)</f>
        <v>3240</v>
      </c>
      <c r="F266" s="22" t="n">
        <f aca="false">SUM(F261:F265)</f>
        <v>0</v>
      </c>
      <c r="G266" s="22" t="n">
        <f aca="false">SUM(G261:G265)</f>
        <v>0</v>
      </c>
      <c r="H266" s="22" t="n">
        <f aca="false">SUM(H261:H265)</f>
        <v>0</v>
      </c>
      <c r="I266" s="22" t="n">
        <f aca="false">SUM(I261:I265)</f>
        <v>0</v>
      </c>
      <c r="J266" s="22" t="n">
        <f aca="false">E266+F266+G266+H266+I266</f>
        <v>3240</v>
      </c>
      <c r="K266" s="6"/>
      <c r="L266" s="132"/>
    </row>
    <row r="267" customFormat="false" ht="15" hidden="false" customHeight="false" outlineLevel="0" collapsed="false">
      <c r="A267" s="85"/>
      <c r="B267" s="78"/>
      <c r="C267" s="78"/>
      <c r="D267" s="78"/>
      <c r="E267" s="105"/>
      <c r="F267" s="105"/>
      <c r="G267" s="105"/>
      <c r="H267" s="105"/>
      <c r="I267" s="105"/>
      <c r="J267" s="85"/>
    </row>
    <row r="268" customFormat="false" ht="15" hidden="false" customHeight="false" outlineLevel="0" collapsed="false">
      <c r="A268" s="85"/>
      <c r="B268" s="83"/>
      <c r="C268" s="83"/>
      <c r="D268" s="83"/>
      <c r="E268" s="105"/>
      <c r="F268" s="105"/>
      <c r="G268" s="105"/>
      <c r="H268" s="106" t="s">
        <v>85</v>
      </c>
      <c r="I268" s="106"/>
      <c r="J268" s="21" t="n">
        <f aca="false">J255-J266</f>
        <v>-445</v>
      </c>
    </row>
    <row r="269" customFormat="false" ht="15" hidden="false" customHeight="false" outlineLevel="0" collapsed="false">
      <c r="A269" s="85"/>
      <c r="B269" s="83"/>
      <c r="C269" s="83"/>
      <c r="D269" s="83"/>
      <c r="E269" s="105"/>
      <c r="F269" s="105"/>
      <c r="G269" s="105"/>
      <c r="H269" s="105"/>
      <c r="I269" s="105"/>
      <c r="J269" s="85"/>
    </row>
    <row r="270" customFormat="false" ht="15" hidden="false" customHeight="false" outlineLevel="0" collapsed="false">
      <c r="A270" s="85"/>
      <c r="B270" s="36" t="s">
        <v>86</v>
      </c>
      <c r="C270" s="36"/>
      <c r="D270" s="107"/>
      <c r="E270" s="36" t="s">
        <v>87</v>
      </c>
      <c r="F270" s="36"/>
      <c r="G270" s="36"/>
      <c r="H270" s="54"/>
      <c r="I270" s="107"/>
      <c r="J270" s="36" t="s">
        <v>88</v>
      </c>
      <c r="K270" s="36"/>
    </row>
    <row r="271" customFormat="false" ht="15" hidden="false" customHeight="false" outlineLevel="0" collapsed="false">
      <c r="A271" s="85"/>
      <c r="C271" s="107"/>
      <c r="D271" s="107"/>
      <c r="E271" s="107"/>
      <c r="F271" s="107"/>
      <c r="G271" s="107"/>
      <c r="H271" s="107"/>
      <c r="I271" s="107"/>
    </row>
    <row r="272" customFormat="false" ht="15" hidden="false" customHeight="false" outlineLevel="0" collapsed="false">
      <c r="A272" s="85"/>
      <c r="B272" s="108" t="s">
        <v>17</v>
      </c>
      <c r="C272" s="108"/>
      <c r="D272" s="108"/>
      <c r="E272" s="109" t="s">
        <v>22</v>
      </c>
      <c r="F272" s="109"/>
      <c r="G272" s="109"/>
      <c r="H272" s="110"/>
      <c r="J272" s="111" t="s">
        <v>19</v>
      </c>
      <c r="K272" s="111"/>
      <c r="L272" s="111"/>
    </row>
    <row r="273" customFormat="false" ht="15" hidden="false" customHeight="false" outlineLevel="0" collapsed="false">
      <c r="A273" s="85"/>
      <c r="B273" s="36" t="s">
        <v>89</v>
      </c>
      <c r="C273" s="36"/>
      <c r="D273" s="107"/>
      <c r="E273" s="36" t="s">
        <v>90</v>
      </c>
      <c r="F273" s="36"/>
      <c r="G273" s="36"/>
      <c r="H273" s="54"/>
      <c r="J273" s="36" t="s">
        <v>91</v>
      </c>
      <c r="K273" s="36"/>
    </row>
    <row r="280" customFormat="false" ht="15" hidden="false" customHeight="false" outlineLevel="0" collapsed="false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</row>
    <row r="281" customFormat="false" ht="18.75" hidden="false" customHeight="true" outlineLevel="0" collapsed="false">
      <c r="C281" s="47"/>
      <c r="D281" s="48" t="s">
        <v>44</v>
      </c>
      <c r="E281" s="48"/>
      <c r="F281" s="48"/>
      <c r="G281" s="48"/>
      <c r="H281" s="48"/>
      <c r="I281" s="48"/>
      <c r="J281" s="48"/>
      <c r="K281" s="49"/>
      <c r="L281" s="49"/>
    </row>
    <row r="282" customFormat="false" ht="15" hidden="false" customHeight="false" outlineLevel="0" collapsed="false">
      <c r="G282" s="36"/>
      <c r="H282" s="36"/>
      <c r="I282" s="36"/>
      <c r="J282" s="36"/>
    </row>
    <row r="283" customFormat="false" ht="15" hidden="false" customHeight="false" outlineLevel="0" collapsed="false">
      <c r="B283" s="50" t="s">
        <v>235</v>
      </c>
      <c r="C283" s="50"/>
      <c r="D283" s="50"/>
      <c r="E283" s="50"/>
      <c r="F283" s="50"/>
      <c r="G283" s="50"/>
      <c r="H283" s="50"/>
      <c r="I283" s="50"/>
      <c r="J283" s="50"/>
      <c r="K283" s="50"/>
    </row>
    <row r="284" customFormat="false" ht="15" hidden="false" customHeight="false" outlineLevel="0" collapsed="false">
      <c r="B284" s="50" t="s">
        <v>46</v>
      </c>
      <c r="C284" s="51" t="n">
        <v>300</v>
      </c>
      <c r="D284" s="50"/>
      <c r="E284" s="52" t="s">
        <v>47</v>
      </c>
      <c r="F284" s="50"/>
      <c r="G284" s="53" t="n">
        <v>50</v>
      </c>
      <c r="H284" s="53"/>
      <c r="I284" s="154" t="s">
        <v>48</v>
      </c>
      <c r="J284" s="54" t="n">
        <v>15</v>
      </c>
    </row>
    <row r="285" customFormat="false" ht="15" hidden="false" customHeight="false" outlineLevel="0" collapsed="false">
      <c r="B285" s="50"/>
      <c r="C285" s="51"/>
      <c r="D285" s="50"/>
      <c r="E285" s="52"/>
      <c r="F285" s="50"/>
      <c r="G285" s="53"/>
      <c r="H285" s="53"/>
      <c r="I285" s="54"/>
      <c r="J285" s="54"/>
    </row>
    <row r="286" customFormat="false" ht="15" hidden="false" customHeight="false" outlineLevel="0" collapsed="false">
      <c r="E286" s="55" t="s">
        <v>49</v>
      </c>
      <c r="F286" s="55"/>
      <c r="G286" s="55"/>
      <c r="H286" s="55"/>
      <c r="I286" s="55"/>
      <c r="J286" s="56"/>
      <c r="K286" s="56"/>
    </row>
    <row r="287" customFormat="false" ht="15" hidden="false" customHeight="false" outlineLevel="0" collapsed="false">
      <c r="A287" s="113" t="s">
        <v>51</v>
      </c>
      <c r="B287" s="114" t="s">
        <v>52</v>
      </c>
      <c r="C287" s="114"/>
      <c r="D287" s="114"/>
      <c r="E287" s="92" t="s">
        <v>53</v>
      </c>
      <c r="F287" s="115" t="s">
        <v>54</v>
      </c>
      <c r="G287" s="11" t="s">
        <v>55</v>
      </c>
      <c r="H287" s="11" t="s">
        <v>56</v>
      </c>
      <c r="I287" s="116" t="s">
        <v>57</v>
      </c>
      <c r="J287" s="92" t="s">
        <v>58</v>
      </c>
      <c r="K287" s="92" t="s">
        <v>59</v>
      </c>
      <c r="L287" s="92" t="s">
        <v>60</v>
      </c>
    </row>
    <row r="288" customFormat="false" ht="15" hidden="false" customHeight="false" outlineLevel="0" collapsed="false">
      <c r="A288" s="117" t="s">
        <v>236</v>
      </c>
      <c r="B288" s="118" t="s">
        <v>237</v>
      </c>
      <c r="C288" s="118"/>
      <c r="D288" s="118"/>
      <c r="E288" s="119" t="n">
        <v>570</v>
      </c>
      <c r="F288" s="119" t="n">
        <v>100</v>
      </c>
      <c r="G288" s="119"/>
      <c r="H288" s="119" t="n">
        <v>30</v>
      </c>
      <c r="I288" s="119"/>
      <c r="J288" s="23" t="n">
        <f aca="false">SUM(E288+F288+G288+H288+I288)</f>
        <v>700</v>
      </c>
      <c r="K288" s="120" t="n">
        <v>46175</v>
      </c>
      <c r="L288" s="89" t="s">
        <v>238</v>
      </c>
      <c r="N288" s="16" t="s">
        <v>116</v>
      </c>
      <c r="O288" s="126" t="n">
        <v>350</v>
      </c>
      <c r="P288" s="126" t="n">
        <v>400</v>
      </c>
    </row>
    <row r="289" customFormat="false" ht="15" hidden="false" customHeight="false" outlineLevel="0" collapsed="false">
      <c r="A289" s="117" t="s">
        <v>239</v>
      </c>
      <c r="B289" s="118" t="s">
        <v>240</v>
      </c>
      <c r="C289" s="118"/>
      <c r="D289" s="118"/>
      <c r="E289" s="119" t="n">
        <v>285</v>
      </c>
      <c r="F289" s="119" t="n">
        <v>50</v>
      </c>
      <c r="G289" s="119"/>
      <c r="H289" s="119" t="n">
        <v>15</v>
      </c>
      <c r="I289" s="119"/>
      <c r="J289" s="23" t="n">
        <f aca="false">SUM(E289+F289+G289+H289+I289)</f>
        <v>350</v>
      </c>
      <c r="K289" s="120" t="n">
        <v>46175</v>
      </c>
      <c r="L289" s="89" t="s">
        <v>238</v>
      </c>
      <c r="N289" s="6" t="n">
        <v>1</v>
      </c>
      <c r="O289" s="18" t="n">
        <v>285</v>
      </c>
      <c r="P289" s="18" t="n">
        <v>335</v>
      </c>
    </row>
    <row r="290" customFormat="false" ht="15" hidden="false" customHeight="false" outlineLevel="0" collapsed="false">
      <c r="A290" s="117" t="s">
        <v>241</v>
      </c>
      <c r="B290" s="118" t="s">
        <v>242</v>
      </c>
      <c r="C290" s="118"/>
      <c r="D290" s="118"/>
      <c r="E290" s="119" t="n">
        <v>570</v>
      </c>
      <c r="F290" s="119" t="n">
        <v>100</v>
      </c>
      <c r="G290" s="119"/>
      <c r="H290" s="119" t="n">
        <v>30</v>
      </c>
      <c r="I290" s="119"/>
      <c r="J290" s="23" t="n">
        <f aca="false">SUM(E290+F290+G290+H290+I290)</f>
        <v>700</v>
      </c>
      <c r="K290" s="120" t="n">
        <v>46182</v>
      </c>
      <c r="L290" s="89" t="s">
        <v>243</v>
      </c>
      <c r="N290" s="6" t="n">
        <v>2</v>
      </c>
      <c r="O290" s="18" t="n">
        <f aca="false">285*2</f>
        <v>570</v>
      </c>
      <c r="P290" s="18" t="n">
        <v>670</v>
      </c>
    </row>
    <row r="291" customFormat="false" ht="15" hidden="false" customHeight="false" outlineLevel="0" collapsed="false">
      <c r="A291" s="117"/>
      <c r="B291" s="122" t="s">
        <v>244</v>
      </c>
      <c r="C291" s="123"/>
      <c r="D291" s="124"/>
      <c r="E291" s="119"/>
      <c r="F291" s="119"/>
      <c r="G291" s="119" t="n">
        <v>0</v>
      </c>
      <c r="H291" s="119"/>
      <c r="I291" s="119"/>
      <c r="J291" s="23" t="n">
        <f aca="false">SUM(E291+F291+G291+H291+I291)</f>
        <v>0</v>
      </c>
      <c r="K291" s="120" t="s">
        <v>245</v>
      </c>
      <c r="L291" s="86" t="s">
        <v>246</v>
      </c>
      <c r="N291" s="6" t="n">
        <v>3</v>
      </c>
      <c r="O291" s="18" t="n">
        <f aca="false">285*3</f>
        <v>855</v>
      </c>
      <c r="P291" s="18" t="n">
        <v>1005</v>
      </c>
    </row>
    <row r="292" customFormat="false" ht="15" hidden="false" customHeight="false" outlineLevel="0" collapsed="false">
      <c r="A292" s="117"/>
      <c r="B292" s="122" t="s">
        <v>228</v>
      </c>
      <c r="C292" s="123"/>
      <c r="D292" s="124"/>
      <c r="E292" s="119"/>
      <c r="F292" s="119"/>
      <c r="G292" s="119" t="n">
        <v>120</v>
      </c>
      <c r="H292" s="119"/>
      <c r="I292" s="119"/>
      <c r="J292" s="23" t="n">
        <f aca="false">SUM(E292+F292+G292+H292+I292)</f>
        <v>120</v>
      </c>
      <c r="K292" s="120" t="n">
        <v>46182</v>
      </c>
      <c r="L292" s="89"/>
      <c r="N292" s="6" t="n">
        <v>4</v>
      </c>
      <c r="O292" s="18" t="n">
        <f aca="false">285*4</f>
        <v>1140</v>
      </c>
      <c r="P292" s="18" t="n">
        <v>1340</v>
      </c>
    </row>
    <row r="293" customFormat="false" ht="15" hidden="false" customHeight="false" outlineLevel="0" collapsed="false">
      <c r="A293" s="117" t="s">
        <v>247</v>
      </c>
      <c r="B293" s="122" t="s">
        <v>248</v>
      </c>
      <c r="C293" s="123"/>
      <c r="D293" s="124"/>
      <c r="E293" s="119" t="n">
        <v>285</v>
      </c>
      <c r="F293" s="119" t="n">
        <v>50</v>
      </c>
      <c r="G293" s="119"/>
      <c r="H293" s="119" t="n">
        <v>15</v>
      </c>
      <c r="I293" s="119"/>
      <c r="J293" s="155" t="n">
        <f aca="false">SUM(E293+F293+G293+H293+I293)</f>
        <v>350</v>
      </c>
      <c r="K293" s="120" t="n">
        <v>46168</v>
      </c>
      <c r="L293" s="156" t="s">
        <v>249</v>
      </c>
      <c r="N293" s="6" t="n">
        <v>6</v>
      </c>
      <c r="O293" s="18" t="n">
        <f aca="false">285*6</f>
        <v>1710</v>
      </c>
      <c r="P293" s="18" t="n">
        <v>2010</v>
      </c>
    </row>
    <row r="294" customFormat="false" ht="15" hidden="false" customHeight="false" outlineLevel="0" collapsed="false">
      <c r="A294" s="117" t="s">
        <v>250</v>
      </c>
      <c r="B294" s="122" t="s">
        <v>251</v>
      </c>
      <c r="C294" s="123"/>
      <c r="D294" s="124"/>
      <c r="E294" s="119" t="n">
        <v>855</v>
      </c>
      <c r="F294" s="119" t="n">
        <v>150</v>
      </c>
      <c r="G294" s="119"/>
      <c r="H294" s="119" t="n">
        <v>45</v>
      </c>
      <c r="I294" s="119"/>
      <c r="J294" s="23" t="n">
        <f aca="false">SUM(E294+F294+G294+H294+I294)</f>
        <v>1050</v>
      </c>
      <c r="K294" s="120" t="n">
        <v>46189</v>
      </c>
      <c r="L294" s="89" t="s">
        <v>252</v>
      </c>
      <c r="N294" s="37"/>
      <c r="O294" s="45"/>
      <c r="P294" s="45"/>
    </row>
    <row r="295" customFormat="false" ht="15" hidden="false" customHeight="false" outlineLevel="0" collapsed="false">
      <c r="A295" s="117" t="s">
        <v>253</v>
      </c>
      <c r="B295" s="122" t="s">
        <v>251</v>
      </c>
      <c r="C295" s="123"/>
      <c r="D295" s="124"/>
      <c r="E295" s="119" t="n">
        <v>1005</v>
      </c>
      <c r="F295" s="119" t="n">
        <v>150</v>
      </c>
      <c r="G295" s="119"/>
      <c r="H295" s="119" t="n">
        <v>45</v>
      </c>
      <c r="I295" s="119"/>
      <c r="J295" s="23" t="n">
        <f aca="false">SUM(E295+F295+G295+H295+I295)</f>
        <v>1200</v>
      </c>
      <c r="K295" s="120" t="n">
        <v>46189</v>
      </c>
      <c r="L295" s="121" t="s">
        <v>254</v>
      </c>
      <c r="N295" s="37"/>
      <c r="O295" s="45"/>
      <c r="P295" s="45"/>
    </row>
    <row r="296" customFormat="false" ht="15" hidden="false" customHeight="false" outlineLevel="0" collapsed="false">
      <c r="A296" s="117" t="s">
        <v>255</v>
      </c>
      <c r="B296" s="122" t="s">
        <v>256</v>
      </c>
      <c r="C296" s="123"/>
      <c r="D296" s="124"/>
      <c r="E296" s="119" t="n">
        <v>285</v>
      </c>
      <c r="F296" s="119" t="n">
        <v>50</v>
      </c>
      <c r="G296" s="119"/>
      <c r="H296" s="119" t="n">
        <v>15</v>
      </c>
      <c r="I296" s="119"/>
      <c r="J296" s="23" t="n">
        <f aca="false">SUM(E296+F296+G296+H296+I296)</f>
        <v>350</v>
      </c>
      <c r="K296" s="120" t="n">
        <v>46189</v>
      </c>
      <c r="L296" s="121" t="s">
        <v>257</v>
      </c>
      <c r="N296" s="37"/>
      <c r="O296" s="45"/>
      <c r="P296" s="45"/>
    </row>
    <row r="297" customFormat="false" ht="15" hidden="false" customHeight="false" outlineLevel="0" collapsed="false">
      <c r="A297" s="117" t="s">
        <v>258</v>
      </c>
      <c r="B297" s="122" t="s">
        <v>259</v>
      </c>
      <c r="C297" s="123"/>
      <c r="D297" s="124"/>
      <c r="E297" s="119" t="n">
        <v>285</v>
      </c>
      <c r="F297" s="119" t="n">
        <v>50</v>
      </c>
      <c r="G297" s="119"/>
      <c r="H297" s="119" t="n">
        <v>15</v>
      </c>
      <c r="I297" s="119"/>
      <c r="J297" s="23" t="n">
        <f aca="false">SUM(E297+F297+G297+H297+I297)</f>
        <v>350</v>
      </c>
      <c r="K297" s="120" t="n">
        <v>46189</v>
      </c>
      <c r="L297" s="121" t="s">
        <v>257</v>
      </c>
      <c r="N297" s="37"/>
      <c r="O297" s="45"/>
      <c r="P297" s="45"/>
    </row>
    <row r="298" customFormat="false" ht="15" hidden="false" customHeight="false" outlineLevel="0" collapsed="false">
      <c r="A298" s="117" t="s">
        <v>260</v>
      </c>
      <c r="B298" s="122" t="s">
        <v>240</v>
      </c>
      <c r="C298" s="123"/>
      <c r="D298" s="124"/>
      <c r="E298" s="119" t="n">
        <v>285</v>
      </c>
      <c r="F298" s="119" t="n">
        <v>50</v>
      </c>
      <c r="G298" s="119"/>
      <c r="H298" s="119" t="n">
        <v>15</v>
      </c>
      <c r="I298" s="119"/>
      <c r="J298" s="23" t="n">
        <f aca="false">SUM(E298+F298+G298+H298+I298)</f>
        <v>350</v>
      </c>
      <c r="K298" s="120" t="n">
        <v>46187</v>
      </c>
      <c r="L298" s="121" t="s">
        <v>257</v>
      </c>
      <c r="N298" s="37"/>
      <c r="O298" s="45"/>
      <c r="P298" s="45"/>
    </row>
    <row r="299" customFormat="false" ht="15" hidden="false" customHeight="false" outlineLevel="0" collapsed="false">
      <c r="A299" s="117"/>
      <c r="B299" s="118" t="s">
        <v>261</v>
      </c>
      <c r="C299" s="118"/>
      <c r="D299" s="118"/>
      <c r="E299" s="119"/>
      <c r="F299" s="119" t="n">
        <v>500</v>
      </c>
      <c r="G299" s="119"/>
      <c r="H299" s="119"/>
      <c r="I299" s="119" t="n">
        <v>0</v>
      </c>
      <c r="J299" s="155" t="n">
        <f aca="false">SUM(E299+F299+G299+H299+I299)</f>
        <v>500</v>
      </c>
      <c r="K299" s="120"/>
      <c r="L299" s="156" t="s">
        <v>249</v>
      </c>
      <c r="N299" s="37"/>
      <c r="O299" s="45"/>
      <c r="P299" s="45"/>
    </row>
    <row r="300" customFormat="false" ht="15" hidden="false" customHeight="false" outlineLevel="0" collapsed="false">
      <c r="A300" s="117"/>
      <c r="B300" s="122" t="s">
        <v>228</v>
      </c>
      <c r="C300" s="157"/>
      <c r="D300" s="158"/>
      <c r="E300" s="119"/>
      <c r="F300" s="119"/>
      <c r="G300" s="119" t="n">
        <v>225</v>
      </c>
      <c r="H300" s="119"/>
      <c r="I300" s="119"/>
      <c r="J300" s="23" t="n">
        <f aca="false">SUM(E300+F300+G300+H300+I300)</f>
        <v>225</v>
      </c>
      <c r="K300" s="120" t="n">
        <v>46189</v>
      </c>
      <c r="L300" s="121"/>
      <c r="N300" s="37"/>
      <c r="O300" s="45"/>
      <c r="P300" s="45"/>
    </row>
    <row r="301" customFormat="false" ht="15" hidden="false" customHeight="false" outlineLevel="0" collapsed="false">
      <c r="A301" s="117" t="s">
        <v>21</v>
      </c>
      <c r="B301" s="122" t="s">
        <v>228</v>
      </c>
      <c r="C301" s="157"/>
      <c r="D301" s="159"/>
      <c r="E301" s="119"/>
      <c r="F301" s="119"/>
      <c r="G301" s="119" t="n">
        <v>936</v>
      </c>
      <c r="H301" s="119"/>
      <c r="I301" s="119"/>
      <c r="J301" s="23" t="n">
        <f aca="false">SUM(E301+F301+G301+H301+I301)</f>
        <v>936</v>
      </c>
      <c r="K301" s="120" t="n">
        <v>46196</v>
      </c>
      <c r="L301" s="121"/>
      <c r="N301" s="37"/>
      <c r="O301" s="45"/>
      <c r="P301" s="45"/>
    </row>
    <row r="302" customFormat="false" ht="15" hidden="false" customHeight="false" outlineLevel="0" collapsed="false">
      <c r="A302" s="117" t="s">
        <v>262</v>
      </c>
      <c r="B302" s="118" t="s">
        <v>263</v>
      </c>
      <c r="C302" s="118"/>
      <c r="D302" s="118"/>
      <c r="E302" s="119" t="n">
        <v>285</v>
      </c>
      <c r="F302" s="119" t="n">
        <v>50</v>
      </c>
      <c r="G302" s="119"/>
      <c r="H302" s="119" t="n">
        <v>15</v>
      </c>
      <c r="I302" s="119"/>
      <c r="J302" s="155" t="n">
        <f aca="false">SUM(E302+F302+G302+H302+I302)</f>
        <v>350</v>
      </c>
      <c r="K302" s="120" t="n">
        <v>46199</v>
      </c>
      <c r="L302" s="156" t="s">
        <v>249</v>
      </c>
      <c r="N302" s="37"/>
      <c r="O302" s="45"/>
      <c r="P302" s="45"/>
    </row>
    <row r="303" customFormat="false" ht="15" hidden="false" customHeight="false" outlineLevel="0" collapsed="false">
      <c r="A303" s="117" t="s">
        <v>264</v>
      </c>
      <c r="B303" s="118" t="s">
        <v>265</v>
      </c>
      <c r="C303" s="118"/>
      <c r="D303" s="118"/>
      <c r="E303" s="119" t="n">
        <v>1675</v>
      </c>
      <c r="F303" s="119" t="n">
        <v>250</v>
      </c>
      <c r="G303" s="119"/>
      <c r="H303" s="119" t="n">
        <v>75</v>
      </c>
      <c r="I303" s="119"/>
      <c r="J303" s="155" t="n">
        <f aca="false">SUM(E303+F303+G303+H303+I303)</f>
        <v>2000</v>
      </c>
      <c r="K303" s="120" t="n">
        <v>46199</v>
      </c>
      <c r="L303" s="156" t="s">
        <v>249</v>
      </c>
      <c r="N303" s="37"/>
      <c r="O303" s="45"/>
      <c r="P303" s="45"/>
    </row>
    <row r="304" customFormat="false" ht="15" hidden="false" customHeight="false" outlineLevel="0" collapsed="false">
      <c r="A304" s="117"/>
      <c r="B304" s="118"/>
      <c r="C304" s="118"/>
      <c r="D304" s="118"/>
      <c r="E304" s="106" t="n">
        <f aca="false">SUM(E288:E303)</f>
        <v>6385</v>
      </c>
      <c r="F304" s="106" t="n">
        <f aca="false">SUM(F288:F303)</f>
        <v>1550</v>
      </c>
      <c r="G304" s="106" t="n">
        <f aca="false">SUM(G288:G303)</f>
        <v>1281</v>
      </c>
      <c r="H304" s="106" t="n">
        <f aca="false">SUM(H288:H303)</f>
        <v>315</v>
      </c>
      <c r="I304" s="106" t="n">
        <f aca="false">SUM(I288:I303)</f>
        <v>0</v>
      </c>
      <c r="J304" s="23" t="n">
        <f aca="false">SUM(E304+F304+G304+H304+I304)</f>
        <v>9531</v>
      </c>
      <c r="K304" s="6"/>
      <c r="L304" s="121"/>
    </row>
    <row r="305" customFormat="false" ht="15" hidden="false" customHeight="false" outlineLevel="0" collapsed="false">
      <c r="A305" s="77"/>
      <c r="B305" s="78"/>
      <c r="C305" s="78"/>
      <c r="D305" s="78"/>
      <c r="E305" s="79"/>
      <c r="F305" s="79"/>
      <c r="G305" s="80"/>
      <c r="H305" s="80"/>
      <c r="I305" s="80"/>
      <c r="J305" s="81"/>
    </row>
    <row r="306" customFormat="false" ht="15" hidden="false" customHeight="false" outlineLevel="0" collapsed="false">
      <c r="A306" s="82"/>
      <c r="B306" s="83"/>
      <c r="C306" s="83"/>
      <c r="D306" s="83"/>
      <c r="E306" s="80"/>
      <c r="F306" s="80"/>
      <c r="G306" s="84"/>
      <c r="H306" s="84"/>
      <c r="I306" s="84"/>
      <c r="J306" s="85"/>
    </row>
    <row r="307" customFormat="false" ht="15" hidden="false" customHeight="false" outlineLevel="0" collapsed="false">
      <c r="C307" s="55" t="s">
        <v>75</v>
      </c>
      <c r="D307" s="55"/>
      <c r="E307" s="55"/>
      <c r="F307" s="55"/>
      <c r="G307" s="55"/>
      <c r="H307" s="55"/>
      <c r="I307" s="55"/>
    </row>
    <row r="308" customFormat="false" ht="15" hidden="false" customHeight="true" outlineLevel="0" collapsed="false">
      <c r="A308" s="86" t="s">
        <v>76</v>
      </c>
      <c r="B308" s="87" t="s">
        <v>77</v>
      </c>
      <c r="C308" s="87"/>
      <c r="D308" s="87"/>
      <c r="E308" s="88" t="s">
        <v>78</v>
      </c>
      <c r="F308" s="88"/>
      <c r="G308" s="88"/>
      <c r="H308" s="88"/>
      <c r="I308" s="88"/>
      <c r="J308" s="88"/>
      <c r="K308" s="86" t="s">
        <v>59</v>
      </c>
      <c r="L308" s="89" t="s">
        <v>79</v>
      </c>
    </row>
    <row r="309" customFormat="false" ht="15" hidden="false" customHeight="false" outlineLevel="0" collapsed="false">
      <c r="A309" s="86"/>
      <c r="B309" s="87"/>
      <c r="C309" s="87"/>
      <c r="D309" s="87"/>
      <c r="E309" s="16" t="s">
        <v>53</v>
      </c>
      <c r="F309" s="16" t="s">
        <v>80</v>
      </c>
      <c r="G309" s="90" t="s">
        <v>81</v>
      </c>
      <c r="H309" s="91" t="s">
        <v>56</v>
      </c>
      <c r="I309" s="90" t="s">
        <v>82</v>
      </c>
      <c r="J309" s="92" t="s">
        <v>58</v>
      </c>
      <c r="K309" s="86"/>
      <c r="L309" s="89"/>
    </row>
    <row r="310" customFormat="false" ht="15" hidden="false" customHeight="false" outlineLevel="0" collapsed="false">
      <c r="A310" s="93"/>
      <c r="B310" s="129" t="s">
        <v>233</v>
      </c>
      <c r="C310" s="129"/>
      <c r="D310" s="129"/>
      <c r="E310" s="102" t="n">
        <v>3990</v>
      </c>
      <c r="F310" s="102"/>
      <c r="G310" s="102"/>
      <c r="H310" s="103"/>
      <c r="I310" s="104"/>
      <c r="J310" s="18" t="n">
        <f aca="false">E310+F310+G310+H310+I310</f>
        <v>3990</v>
      </c>
      <c r="K310" s="130" t="s">
        <v>21</v>
      </c>
      <c r="L310" s="131" t="s">
        <v>21</v>
      </c>
    </row>
    <row r="311" customFormat="false" ht="15" hidden="false" customHeight="false" outlineLevel="0" collapsed="false">
      <c r="A311" s="93"/>
      <c r="B311" s="129" t="s">
        <v>266</v>
      </c>
      <c r="C311" s="129"/>
      <c r="D311" s="129"/>
      <c r="E311" s="102"/>
      <c r="F311" s="102" t="n">
        <v>500</v>
      </c>
      <c r="G311" s="102"/>
      <c r="H311" s="103"/>
      <c r="I311" s="104"/>
      <c r="J311" s="18" t="n">
        <f aca="false">E311+F311+G311+H311+I311</f>
        <v>500</v>
      </c>
      <c r="K311" s="6"/>
      <c r="L311" s="132"/>
    </row>
    <row r="312" customFormat="false" ht="15" hidden="false" customHeight="false" outlineLevel="0" collapsed="false">
      <c r="A312" s="93"/>
      <c r="B312" s="129" t="s">
        <v>267</v>
      </c>
      <c r="C312" s="160"/>
      <c r="D312" s="160"/>
      <c r="E312" s="102"/>
      <c r="F312" s="102" t="n">
        <v>9800</v>
      </c>
      <c r="G312" s="102"/>
      <c r="H312" s="103"/>
      <c r="I312" s="104"/>
      <c r="J312" s="18"/>
      <c r="K312" s="6"/>
      <c r="L312" s="132"/>
    </row>
    <row r="313" customFormat="false" ht="15" hidden="false" customHeight="false" outlineLevel="0" collapsed="false">
      <c r="A313" s="93"/>
      <c r="B313" s="129" t="s">
        <v>268</v>
      </c>
      <c r="C313" s="160"/>
      <c r="D313" s="160"/>
      <c r="E313" s="102"/>
      <c r="F313" s="102"/>
      <c r="G313" s="102"/>
      <c r="H313" s="103"/>
      <c r="I313" s="104"/>
      <c r="J313" s="18"/>
      <c r="K313" s="6"/>
      <c r="L313" s="132"/>
    </row>
    <row r="314" customFormat="false" ht="15" hidden="false" customHeight="false" outlineLevel="0" collapsed="false">
      <c r="A314" s="93"/>
      <c r="B314" s="129"/>
      <c r="C314" s="129"/>
      <c r="D314" s="129"/>
      <c r="E314" s="102"/>
      <c r="F314" s="102"/>
      <c r="G314" s="102"/>
      <c r="H314" s="103"/>
      <c r="I314" s="104"/>
      <c r="J314" s="18" t="n">
        <f aca="false">E314+F314+G314+H314+I314</f>
        <v>0</v>
      </c>
      <c r="K314" s="6"/>
      <c r="L314" s="132"/>
    </row>
    <row r="315" customFormat="false" ht="15" hidden="false" customHeight="false" outlineLevel="0" collapsed="false">
      <c r="A315" s="93"/>
      <c r="B315" s="129"/>
      <c r="C315" s="129"/>
      <c r="D315" s="129"/>
      <c r="E315" s="102"/>
      <c r="F315" s="102"/>
      <c r="G315" s="18"/>
      <c r="H315" s="104"/>
      <c r="I315" s="104"/>
      <c r="J315" s="18" t="n">
        <f aca="false">E315+F315+G315+H315+I315</f>
        <v>0</v>
      </c>
      <c r="K315" s="6"/>
      <c r="L315" s="132"/>
    </row>
    <row r="316" customFormat="false" ht="15" hidden="false" customHeight="false" outlineLevel="0" collapsed="false">
      <c r="A316" s="6"/>
      <c r="B316" s="101"/>
      <c r="C316" s="101"/>
      <c r="D316" s="101"/>
      <c r="E316" s="22" t="n">
        <f aca="false">SUM(E310:E315)</f>
        <v>3990</v>
      </c>
      <c r="F316" s="22" t="n">
        <f aca="false">SUM(F310:F315)</f>
        <v>10300</v>
      </c>
      <c r="G316" s="22" t="n">
        <f aca="false">SUM(G310:G315)</f>
        <v>0</v>
      </c>
      <c r="H316" s="22" t="n">
        <f aca="false">SUM(H310:H315)</f>
        <v>0</v>
      </c>
      <c r="I316" s="22" t="n">
        <f aca="false">SUM(I310:I315)</f>
        <v>0</v>
      </c>
      <c r="J316" s="22" t="n">
        <f aca="false">E316+F316+G316+H316+I316</f>
        <v>14290</v>
      </c>
      <c r="K316" s="6"/>
      <c r="L316" s="132"/>
    </row>
    <row r="317" customFormat="false" ht="15" hidden="false" customHeight="false" outlineLevel="0" collapsed="false">
      <c r="A317" s="85"/>
      <c r="B317" s="78"/>
      <c r="C317" s="78"/>
      <c r="D317" s="78"/>
      <c r="E317" s="105"/>
      <c r="F317" s="105"/>
      <c r="G317" s="105"/>
      <c r="H317" s="105"/>
      <c r="I317" s="105"/>
      <c r="J317" s="85"/>
    </row>
    <row r="318" customFormat="false" ht="15" hidden="false" customHeight="false" outlineLevel="0" collapsed="false">
      <c r="A318" s="85"/>
      <c r="B318" s="83"/>
      <c r="C318" s="83"/>
      <c r="D318" s="83"/>
      <c r="E318" s="105"/>
      <c r="F318" s="105"/>
      <c r="G318" s="105"/>
      <c r="H318" s="106" t="s">
        <v>85</v>
      </c>
      <c r="I318" s="106"/>
      <c r="J318" s="21" t="n">
        <f aca="false">J304-J316</f>
        <v>-4759</v>
      </c>
    </row>
    <row r="319" customFormat="false" ht="15" hidden="false" customHeight="false" outlineLevel="0" collapsed="false">
      <c r="A319" s="85"/>
      <c r="B319" s="83"/>
      <c r="C319" s="83"/>
      <c r="D319" s="83"/>
      <c r="E319" s="105"/>
      <c r="F319" s="105"/>
      <c r="G319" s="105"/>
      <c r="H319" s="105"/>
      <c r="I319" s="105"/>
      <c r="J319" s="85"/>
    </row>
    <row r="320" customFormat="false" ht="15" hidden="false" customHeight="false" outlineLevel="0" collapsed="false">
      <c r="A320" s="85"/>
      <c r="B320" s="36" t="s">
        <v>86</v>
      </c>
      <c r="C320" s="36"/>
      <c r="D320" s="107"/>
      <c r="E320" s="36" t="s">
        <v>87</v>
      </c>
      <c r="F320" s="36"/>
      <c r="G320" s="36"/>
      <c r="H320" s="54"/>
      <c r="I320" s="107"/>
      <c r="J320" s="36" t="s">
        <v>88</v>
      </c>
      <c r="K320" s="36"/>
    </row>
    <row r="321" customFormat="false" ht="15" hidden="false" customHeight="false" outlineLevel="0" collapsed="false">
      <c r="A321" s="85"/>
      <c r="C321" s="107"/>
      <c r="D321" s="107"/>
      <c r="E321" s="107"/>
      <c r="F321" s="107"/>
      <c r="G321" s="107"/>
      <c r="H321" s="107"/>
      <c r="I321" s="107"/>
    </row>
    <row r="322" customFormat="false" ht="15" hidden="false" customHeight="false" outlineLevel="0" collapsed="false">
      <c r="A322" s="85"/>
      <c r="B322" s="108" t="s">
        <v>17</v>
      </c>
      <c r="C322" s="108"/>
      <c r="D322" s="108"/>
      <c r="E322" s="109" t="s">
        <v>22</v>
      </c>
      <c r="F322" s="109"/>
      <c r="G322" s="109"/>
      <c r="H322" s="110"/>
      <c r="J322" s="111" t="s">
        <v>19</v>
      </c>
      <c r="K322" s="111"/>
      <c r="L322" s="111"/>
    </row>
    <row r="323" customFormat="false" ht="15" hidden="false" customHeight="false" outlineLevel="0" collapsed="false">
      <c r="A323" s="85"/>
      <c r="B323" s="36" t="s">
        <v>89</v>
      </c>
      <c r="C323" s="36"/>
      <c r="D323" s="107"/>
      <c r="E323" s="36" t="s">
        <v>90</v>
      </c>
      <c r="F323" s="36"/>
      <c r="G323" s="36"/>
      <c r="H323" s="54"/>
      <c r="J323" s="36" t="s">
        <v>91</v>
      </c>
      <c r="K323" s="36"/>
    </row>
    <row r="327" customFormat="false" ht="15" hidden="false" customHeight="false" outlineLevel="0" collapsed="false">
      <c r="A327" s="112"/>
      <c r="B327" s="112"/>
      <c r="C327" s="112"/>
      <c r="D327" s="112"/>
      <c r="E327" s="112"/>
      <c r="F327" s="112"/>
      <c r="G327" s="112"/>
      <c r="H327" s="112"/>
      <c r="I327" s="112"/>
      <c r="J327" s="112"/>
      <c r="K327" s="112"/>
      <c r="L327" s="112"/>
    </row>
    <row r="328" customFormat="false" ht="18.75" hidden="false" customHeight="true" outlineLevel="0" collapsed="false">
      <c r="C328" s="47"/>
      <c r="D328" s="48" t="s">
        <v>44</v>
      </c>
      <c r="E328" s="48"/>
      <c r="F328" s="48"/>
      <c r="G328" s="48"/>
      <c r="H328" s="48"/>
      <c r="I328" s="48"/>
      <c r="J328" s="48"/>
      <c r="K328" s="49"/>
      <c r="L328" s="49"/>
    </row>
    <row r="329" customFormat="false" ht="15" hidden="false" customHeight="false" outlineLevel="0" collapsed="false">
      <c r="G329" s="36"/>
      <c r="H329" s="36"/>
      <c r="I329" s="36"/>
      <c r="J329" s="36"/>
    </row>
    <row r="330" customFormat="false" ht="15" hidden="false" customHeight="false" outlineLevel="0" collapsed="false">
      <c r="B330" s="50" t="s">
        <v>269</v>
      </c>
      <c r="C330" s="50"/>
      <c r="D330" s="50"/>
      <c r="E330" s="50"/>
      <c r="F330" s="50"/>
      <c r="G330" s="50"/>
      <c r="H330" s="50"/>
      <c r="I330" s="50"/>
      <c r="J330" s="50"/>
      <c r="K330" s="50"/>
    </row>
    <row r="331" customFormat="false" ht="15" hidden="false" customHeight="false" outlineLevel="0" collapsed="false">
      <c r="B331" s="50" t="s">
        <v>46</v>
      </c>
      <c r="C331" s="51" t="n">
        <v>350</v>
      </c>
      <c r="D331" s="50"/>
      <c r="E331" s="52" t="s">
        <v>47</v>
      </c>
      <c r="F331" s="50"/>
      <c r="G331" s="53" t="n">
        <v>50</v>
      </c>
      <c r="H331" s="53"/>
      <c r="I331" s="154" t="s">
        <v>48</v>
      </c>
      <c r="J331" s="54" t="n">
        <v>15</v>
      </c>
    </row>
    <row r="332" customFormat="false" ht="15" hidden="false" customHeight="false" outlineLevel="0" collapsed="false">
      <c r="B332" s="50"/>
      <c r="C332" s="51"/>
      <c r="D332" s="50"/>
      <c r="E332" s="52"/>
      <c r="F332" s="50"/>
      <c r="G332" s="53"/>
      <c r="H332" s="53"/>
      <c r="I332" s="54"/>
      <c r="J332" s="54"/>
    </row>
    <row r="333" customFormat="false" ht="15" hidden="false" customHeight="false" outlineLevel="0" collapsed="false">
      <c r="E333" s="55" t="s">
        <v>49</v>
      </c>
      <c r="F333" s="55"/>
      <c r="G333" s="55"/>
      <c r="H333" s="55"/>
      <c r="I333" s="55"/>
      <c r="J333" s="56"/>
      <c r="K333" s="56"/>
    </row>
    <row r="334" customFormat="false" ht="15" hidden="false" customHeight="false" outlineLevel="0" collapsed="false">
      <c r="A334" s="113" t="s">
        <v>51</v>
      </c>
      <c r="B334" s="114" t="s">
        <v>52</v>
      </c>
      <c r="C334" s="114"/>
      <c r="D334" s="114"/>
      <c r="E334" s="92" t="s">
        <v>53</v>
      </c>
      <c r="F334" s="115" t="s">
        <v>54</v>
      </c>
      <c r="G334" s="11" t="s">
        <v>55</v>
      </c>
      <c r="H334" s="11" t="s">
        <v>56</v>
      </c>
      <c r="I334" s="116" t="s">
        <v>57</v>
      </c>
      <c r="J334" s="92" t="s">
        <v>58</v>
      </c>
      <c r="K334" s="92" t="s">
        <v>59</v>
      </c>
      <c r="L334" s="92" t="s">
        <v>60</v>
      </c>
    </row>
    <row r="335" customFormat="false" ht="15" hidden="false" customHeight="false" outlineLevel="0" collapsed="false">
      <c r="A335" s="117" t="s">
        <v>270</v>
      </c>
      <c r="B335" s="118" t="s">
        <v>271</v>
      </c>
      <c r="C335" s="118"/>
      <c r="D335" s="118"/>
      <c r="E335" s="119" t="n">
        <v>285</v>
      </c>
      <c r="F335" s="119" t="n">
        <v>50</v>
      </c>
      <c r="G335" s="119" t="n">
        <v>50</v>
      </c>
      <c r="H335" s="119" t="n">
        <v>15</v>
      </c>
      <c r="I335" s="119"/>
      <c r="J335" s="23" t="n">
        <f aca="false">SUM(E335+F335+G335+H335+I335)</f>
        <v>400</v>
      </c>
      <c r="K335" s="120" t="n">
        <v>46202</v>
      </c>
      <c r="L335" s="161" t="n">
        <v>46174</v>
      </c>
      <c r="N335" s="16" t="s">
        <v>116</v>
      </c>
      <c r="O335" s="126" t="n">
        <v>350</v>
      </c>
      <c r="P335" s="126" t="n">
        <v>400</v>
      </c>
    </row>
    <row r="336" customFormat="false" ht="15" hidden="false" customHeight="false" outlineLevel="0" collapsed="false">
      <c r="A336" s="117" t="s">
        <v>272</v>
      </c>
      <c r="B336" s="118" t="s">
        <v>259</v>
      </c>
      <c r="C336" s="118"/>
      <c r="D336" s="118"/>
      <c r="E336" s="162" t="n">
        <v>300</v>
      </c>
      <c r="F336" s="162" t="n">
        <v>0</v>
      </c>
      <c r="G336" s="119"/>
      <c r="H336" s="119"/>
      <c r="I336" s="119"/>
      <c r="J336" s="23" t="n">
        <f aca="false">SUM(E336+F336+G336+H336+I336)</f>
        <v>300</v>
      </c>
      <c r="K336" s="120" t="n">
        <v>46204</v>
      </c>
      <c r="L336" s="163" t="s">
        <v>273</v>
      </c>
      <c r="N336" s="6" t="n">
        <v>1</v>
      </c>
      <c r="O336" s="18" t="n">
        <v>285</v>
      </c>
      <c r="P336" s="18" t="n">
        <v>335</v>
      </c>
    </row>
    <row r="337" customFormat="false" ht="15" hidden="false" customHeight="false" outlineLevel="0" collapsed="false">
      <c r="A337" s="117" t="s">
        <v>274</v>
      </c>
      <c r="B337" s="118" t="s">
        <v>275</v>
      </c>
      <c r="C337" s="118"/>
      <c r="D337" s="118"/>
      <c r="E337" s="119" t="n">
        <v>570</v>
      </c>
      <c r="F337" s="119" t="n">
        <v>100</v>
      </c>
      <c r="G337" s="119"/>
      <c r="H337" s="119" t="n">
        <v>30</v>
      </c>
      <c r="I337" s="119"/>
      <c r="J337" s="23" t="n">
        <f aca="false">SUM(E337+F337+G337+H337+I337)</f>
        <v>700</v>
      </c>
      <c r="K337" s="120" t="n">
        <v>46208</v>
      </c>
      <c r="L337" s="89" t="s">
        <v>276</v>
      </c>
      <c r="N337" s="6" t="n">
        <v>2</v>
      </c>
      <c r="O337" s="18" t="n">
        <f aca="false">285*2</f>
        <v>570</v>
      </c>
      <c r="P337" s="18" t="n">
        <v>670</v>
      </c>
    </row>
    <row r="338" customFormat="false" ht="15" hidden="false" customHeight="false" outlineLevel="0" collapsed="false">
      <c r="A338" s="117" t="s">
        <v>277</v>
      </c>
      <c r="B338" s="122" t="s">
        <v>278</v>
      </c>
      <c r="C338" s="123"/>
      <c r="D338" s="124"/>
      <c r="E338" s="119" t="n">
        <v>335</v>
      </c>
      <c r="F338" s="119" t="n">
        <v>50</v>
      </c>
      <c r="G338" s="119"/>
      <c r="H338" s="119" t="n">
        <v>15</v>
      </c>
      <c r="I338" s="119"/>
      <c r="J338" s="23" t="n">
        <f aca="false">SUM(E338+F338+G338+H338+I338)</f>
        <v>400</v>
      </c>
      <c r="K338" s="120" t="n">
        <v>46210</v>
      </c>
      <c r="L338" s="86" t="s">
        <v>279</v>
      </c>
      <c r="N338" s="6" t="n">
        <v>3</v>
      </c>
      <c r="O338" s="18" t="n">
        <f aca="false">285*3</f>
        <v>855</v>
      </c>
      <c r="P338" s="18" t="n">
        <v>1005</v>
      </c>
    </row>
    <row r="339" customFormat="false" ht="15" hidden="false" customHeight="false" outlineLevel="0" collapsed="false">
      <c r="A339" s="117" t="s">
        <v>280</v>
      </c>
      <c r="B339" s="122" t="s">
        <v>281</v>
      </c>
      <c r="C339" s="123"/>
      <c r="D339" s="124" t="s">
        <v>21</v>
      </c>
      <c r="E339" s="119" t="n">
        <v>670</v>
      </c>
      <c r="F339" s="119" t="n">
        <v>100</v>
      </c>
      <c r="G339" s="119"/>
      <c r="H339" s="119" t="n">
        <v>30</v>
      </c>
      <c r="I339" s="119"/>
      <c r="J339" s="23" t="n">
        <f aca="false">SUM(E339+F339+G339+H339+I339)</f>
        <v>800</v>
      </c>
      <c r="K339" s="120" t="n">
        <v>46210</v>
      </c>
      <c r="L339" s="89" t="s">
        <v>282</v>
      </c>
      <c r="N339" s="6" t="n">
        <v>4</v>
      </c>
      <c r="O339" s="18" t="n">
        <f aca="false">285*4</f>
        <v>1140</v>
      </c>
      <c r="P339" s="18" t="n">
        <v>1340</v>
      </c>
    </row>
    <row r="340" customFormat="false" ht="15" hidden="false" customHeight="false" outlineLevel="0" collapsed="false">
      <c r="A340" s="117"/>
      <c r="B340" s="122" t="s">
        <v>228</v>
      </c>
      <c r="C340" s="123"/>
      <c r="D340" s="124"/>
      <c r="E340" s="119"/>
      <c r="F340" s="119"/>
      <c r="G340" s="119" t="n">
        <v>120</v>
      </c>
      <c r="H340" s="119"/>
      <c r="I340" s="119"/>
      <c r="J340" s="155" t="n">
        <f aca="false">SUM(E340+F340+G340+H340+I340)</f>
        <v>120</v>
      </c>
      <c r="K340" s="120" t="n">
        <v>46210</v>
      </c>
      <c r="L340" s="156"/>
      <c r="N340" s="6" t="n">
        <v>6</v>
      </c>
      <c r="O340" s="18" t="n">
        <f aca="false">285*6</f>
        <v>1710</v>
      </c>
      <c r="P340" s="18" t="n">
        <v>2010</v>
      </c>
    </row>
    <row r="341" customFormat="false" ht="15" hidden="false" customHeight="false" outlineLevel="0" collapsed="false">
      <c r="A341" s="117" t="s">
        <v>283</v>
      </c>
      <c r="B341" s="122" t="s">
        <v>242</v>
      </c>
      <c r="C341" s="123"/>
      <c r="D341" s="124"/>
      <c r="E341" s="119" t="n">
        <v>670</v>
      </c>
      <c r="F341" s="119" t="n">
        <v>100</v>
      </c>
      <c r="G341" s="119"/>
      <c r="H341" s="119" t="n">
        <v>30</v>
      </c>
      <c r="I341" s="119"/>
      <c r="J341" s="23" t="n">
        <f aca="false">SUM(E341+F341+G341+H341+I341)</f>
        <v>800</v>
      </c>
      <c r="K341" s="120" t="n">
        <v>46211</v>
      </c>
      <c r="L341" s="89" t="s">
        <v>282</v>
      </c>
      <c r="N341" s="37"/>
      <c r="O341" s="45"/>
      <c r="P341" s="45"/>
    </row>
    <row r="342" customFormat="false" ht="15" hidden="false" customHeight="false" outlineLevel="0" collapsed="false">
      <c r="A342" s="117"/>
      <c r="B342" s="122"/>
      <c r="C342" s="123"/>
      <c r="D342" s="124"/>
      <c r="E342" s="119"/>
      <c r="F342" s="119"/>
      <c r="G342" s="119"/>
      <c r="H342" s="119"/>
      <c r="I342" s="119"/>
      <c r="J342" s="23" t="n">
        <f aca="false">SUM(E342+F342+G342+H342+I342)</f>
        <v>0</v>
      </c>
      <c r="K342" s="120"/>
      <c r="L342" s="121"/>
      <c r="N342" s="37"/>
      <c r="O342" s="45"/>
      <c r="P342" s="45"/>
    </row>
    <row r="343" customFormat="false" ht="15" hidden="false" customHeight="false" outlineLevel="0" collapsed="false">
      <c r="A343" s="117"/>
      <c r="B343" s="122"/>
      <c r="C343" s="123"/>
      <c r="D343" s="124"/>
      <c r="E343" s="119"/>
      <c r="F343" s="119"/>
      <c r="G343" s="119"/>
      <c r="H343" s="119"/>
      <c r="I343" s="119"/>
      <c r="J343" s="23" t="n">
        <f aca="false">SUM(E343+F343+G343+H343+I343)</f>
        <v>0</v>
      </c>
      <c r="K343" s="120"/>
      <c r="L343" s="121"/>
      <c r="N343" s="37"/>
      <c r="O343" s="45"/>
      <c r="P343" s="45"/>
    </row>
    <row r="344" customFormat="false" ht="15" hidden="false" customHeight="false" outlineLevel="0" collapsed="false">
      <c r="A344" s="117"/>
      <c r="B344" s="122"/>
      <c r="C344" s="123"/>
      <c r="D344" s="124"/>
      <c r="E344" s="119"/>
      <c r="F344" s="119"/>
      <c r="G344" s="119"/>
      <c r="H344" s="119"/>
      <c r="I344" s="119"/>
      <c r="J344" s="23" t="n">
        <f aca="false">SUM(E344+F344+G344+H344+I344)</f>
        <v>0</v>
      </c>
      <c r="K344" s="120"/>
      <c r="L344" s="121"/>
      <c r="N344" s="37"/>
      <c r="O344" s="45"/>
      <c r="P344" s="45"/>
    </row>
    <row r="345" customFormat="false" ht="15" hidden="false" customHeight="false" outlineLevel="0" collapsed="false">
      <c r="A345" s="117"/>
      <c r="B345" s="122"/>
      <c r="C345" s="123"/>
      <c r="D345" s="124"/>
      <c r="E345" s="119"/>
      <c r="F345" s="119"/>
      <c r="G345" s="119"/>
      <c r="H345" s="119"/>
      <c r="I345" s="119"/>
      <c r="J345" s="23" t="n">
        <f aca="false">SUM(E345+F345+G345+H345+I345)</f>
        <v>0</v>
      </c>
      <c r="K345" s="120"/>
      <c r="L345" s="121"/>
      <c r="N345" s="37"/>
      <c r="O345" s="45"/>
      <c r="P345" s="45"/>
    </row>
    <row r="346" customFormat="false" ht="15" hidden="false" customHeight="false" outlineLevel="0" collapsed="false">
      <c r="A346" s="117"/>
      <c r="B346" s="118"/>
      <c r="C346" s="118"/>
      <c r="D346" s="118"/>
      <c r="E346" s="119"/>
      <c r="F346" s="119"/>
      <c r="G346" s="119"/>
      <c r="H346" s="119"/>
      <c r="I346" s="119"/>
      <c r="J346" s="23" t="n">
        <f aca="false">SUM(E346+F346+G346+H346+I346)</f>
        <v>0</v>
      </c>
      <c r="K346" s="120"/>
      <c r="L346" s="156"/>
      <c r="N346" s="37"/>
      <c r="O346" s="45"/>
      <c r="P346" s="45"/>
    </row>
    <row r="347" customFormat="false" ht="15" hidden="false" customHeight="false" outlineLevel="0" collapsed="false">
      <c r="A347" s="117"/>
      <c r="B347" s="122"/>
      <c r="C347" s="157"/>
      <c r="D347" s="158"/>
      <c r="E347" s="119"/>
      <c r="F347" s="119"/>
      <c r="G347" s="119"/>
      <c r="H347" s="119"/>
      <c r="I347" s="119"/>
      <c r="J347" s="23" t="n">
        <f aca="false">SUM(E347+F347+G347+H347+I347)</f>
        <v>0</v>
      </c>
      <c r="K347" s="120"/>
      <c r="L347" s="121"/>
      <c r="N347" s="37"/>
      <c r="O347" s="45"/>
      <c r="P347" s="45"/>
    </row>
    <row r="348" customFormat="false" ht="15" hidden="false" customHeight="false" outlineLevel="0" collapsed="false">
      <c r="A348" s="117"/>
      <c r="B348" s="122"/>
      <c r="C348" s="157"/>
      <c r="D348" s="159"/>
      <c r="E348" s="119"/>
      <c r="F348" s="119"/>
      <c r="G348" s="119"/>
      <c r="H348" s="119"/>
      <c r="I348" s="119"/>
      <c r="J348" s="23" t="n">
        <f aca="false">SUM(E348+F348+G348+H348+I348)</f>
        <v>0</v>
      </c>
      <c r="K348" s="120"/>
      <c r="L348" s="121"/>
      <c r="N348" s="37"/>
      <c r="O348" s="45"/>
      <c r="P348" s="45"/>
    </row>
    <row r="349" customFormat="false" ht="15" hidden="false" customHeight="false" outlineLevel="0" collapsed="false">
      <c r="A349" s="117"/>
      <c r="B349" s="118"/>
      <c r="C349" s="118"/>
      <c r="D349" s="118"/>
      <c r="E349" s="119"/>
      <c r="F349" s="119"/>
      <c r="G349" s="119"/>
      <c r="H349" s="119"/>
      <c r="I349" s="119"/>
      <c r="J349" s="23" t="n">
        <f aca="false">SUM(E349+F349+G349+H349+I349)</f>
        <v>0</v>
      </c>
      <c r="K349" s="120"/>
      <c r="L349" s="156"/>
      <c r="N349" s="37"/>
      <c r="O349" s="45"/>
      <c r="P349" s="45"/>
    </row>
    <row r="350" customFormat="false" ht="15" hidden="false" customHeight="false" outlineLevel="0" collapsed="false">
      <c r="A350" s="117"/>
      <c r="B350" s="118"/>
      <c r="C350" s="118"/>
      <c r="D350" s="118"/>
      <c r="E350" s="119"/>
      <c r="F350" s="119"/>
      <c r="G350" s="119"/>
      <c r="H350" s="119"/>
      <c r="I350" s="119"/>
      <c r="J350" s="23" t="n">
        <f aca="false">SUM(E350+F350+G350+H350+I350)</f>
        <v>0</v>
      </c>
      <c r="K350" s="120"/>
      <c r="L350" s="156"/>
      <c r="N350" s="37"/>
      <c r="O350" s="45"/>
      <c r="P350" s="45"/>
    </row>
    <row r="351" customFormat="false" ht="15" hidden="false" customHeight="false" outlineLevel="0" collapsed="false">
      <c r="A351" s="117"/>
      <c r="B351" s="118"/>
      <c r="C351" s="118"/>
      <c r="D351" s="118"/>
      <c r="E351" s="106" t="n">
        <f aca="false">SUM(E335:E350)</f>
        <v>2830</v>
      </c>
      <c r="F351" s="106" t="n">
        <f aca="false">SUM(F335:F350)</f>
        <v>400</v>
      </c>
      <c r="G351" s="106" t="n">
        <f aca="false">SUM(G335:G350)</f>
        <v>170</v>
      </c>
      <c r="H351" s="106" t="n">
        <f aca="false">SUM(H335:H350)</f>
        <v>120</v>
      </c>
      <c r="I351" s="106" t="n">
        <f aca="false">SUM(I335:I350)</f>
        <v>0</v>
      </c>
      <c r="J351" s="23" t="n">
        <f aca="false">SUM(E351+F351+G351+H351+I351)</f>
        <v>3520</v>
      </c>
      <c r="K351" s="6"/>
      <c r="L351" s="121"/>
    </row>
    <row r="352" customFormat="false" ht="15" hidden="false" customHeight="false" outlineLevel="0" collapsed="false">
      <c r="A352" s="77"/>
      <c r="B352" s="78"/>
      <c r="C352" s="78"/>
      <c r="D352" s="78"/>
      <c r="E352" s="79"/>
      <c r="F352" s="79"/>
      <c r="G352" s="80"/>
      <c r="H352" s="80"/>
      <c r="I352" s="80"/>
      <c r="J352" s="81"/>
    </row>
    <row r="353" customFormat="false" ht="15" hidden="false" customHeight="false" outlineLevel="0" collapsed="false">
      <c r="A353" s="82"/>
      <c r="B353" s="83"/>
      <c r="C353" s="83"/>
      <c r="D353" s="83"/>
      <c r="E353" s="80"/>
      <c r="F353" s="80"/>
      <c r="G353" s="84"/>
      <c r="H353" s="84"/>
      <c r="I353" s="84"/>
      <c r="J353" s="85"/>
    </row>
    <row r="354" customFormat="false" ht="15" hidden="false" customHeight="false" outlineLevel="0" collapsed="false">
      <c r="C354" s="55" t="s">
        <v>75</v>
      </c>
      <c r="D354" s="55"/>
      <c r="E354" s="55"/>
      <c r="F354" s="55"/>
      <c r="G354" s="55"/>
      <c r="H354" s="55"/>
      <c r="I354" s="55"/>
    </row>
    <row r="355" customFormat="false" ht="15" hidden="false" customHeight="true" outlineLevel="0" collapsed="false">
      <c r="A355" s="86" t="s">
        <v>76</v>
      </c>
      <c r="B355" s="87" t="s">
        <v>77</v>
      </c>
      <c r="C355" s="87"/>
      <c r="D355" s="87"/>
      <c r="E355" s="88" t="s">
        <v>78</v>
      </c>
      <c r="F355" s="88"/>
      <c r="G355" s="88"/>
      <c r="H355" s="88"/>
      <c r="I355" s="88"/>
      <c r="J355" s="88"/>
      <c r="K355" s="86" t="s">
        <v>59</v>
      </c>
      <c r="L355" s="89" t="s">
        <v>79</v>
      </c>
    </row>
    <row r="356" customFormat="false" ht="15" hidden="false" customHeight="false" outlineLevel="0" collapsed="false">
      <c r="A356" s="86"/>
      <c r="B356" s="87"/>
      <c r="C356" s="87"/>
      <c r="D356" s="87"/>
      <c r="E356" s="16" t="s">
        <v>53</v>
      </c>
      <c r="F356" s="16" t="s">
        <v>80</v>
      </c>
      <c r="G356" s="90" t="s">
        <v>81</v>
      </c>
      <c r="H356" s="91" t="s">
        <v>56</v>
      </c>
      <c r="I356" s="90" t="s">
        <v>82</v>
      </c>
      <c r="J356" s="92" t="s">
        <v>58</v>
      </c>
      <c r="K356" s="86"/>
      <c r="L356" s="89"/>
    </row>
    <row r="357" customFormat="false" ht="15" hidden="false" customHeight="false" outlineLevel="0" collapsed="false">
      <c r="A357" s="93"/>
      <c r="B357" s="129" t="s">
        <v>233</v>
      </c>
      <c r="C357" s="129"/>
      <c r="D357" s="129"/>
      <c r="E357" s="102" t="n">
        <v>0</v>
      </c>
      <c r="F357" s="102"/>
      <c r="G357" s="102"/>
      <c r="H357" s="103"/>
      <c r="I357" s="104"/>
      <c r="J357" s="18" t="n">
        <f aca="false">E357+F357+G357+H357+I357</f>
        <v>0</v>
      </c>
      <c r="K357" s="130" t="s">
        <v>21</v>
      </c>
      <c r="L357" s="131" t="s">
        <v>21</v>
      </c>
    </row>
    <row r="358" customFormat="false" ht="15" hidden="false" customHeight="false" outlineLevel="0" collapsed="false">
      <c r="A358" s="93"/>
      <c r="B358" s="129"/>
      <c r="C358" s="129"/>
      <c r="D358" s="129"/>
      <c r="E358" s="102"/>
      <c r="F358" s="102" t="n">
        <v>0</v>
      </c>
      <c r="G358" s="102"/>
      <c r="H358" s="103"/>
      <c r="I358" s="104"/>
      <c r="J358" s="18" t="n">
        <f aca="false">E358+F358+G358+H358+I358</f>
        <v>0</v>
      </c>
      <c r="K358" s="6"/>
      <c r="L358" s="132"/>
    </row>
    <row r="359" customFormat="false" ht="15" hidden="false" customHeight="false" outlineLevel="0" collapsed="false">
      <c r="A359" s="93"/>
      <c r="B359" s="129"/>
      <c r="C359" s="160"/>
      <c r="D359" s="160"/>
      <c r="E359" s="102"/>
      <c r="F359" s="102" t="n">
        <v>0</v>
      </c>
      <c r="G359" s="102"/>
      <c r="H359" s="103"/>
      <c r="I359" s="104"/>
      <c r="J359" s="18"/>
      <c r="K359" s="6"/>
      <c r="L359" s="132"/>
    </row>
    <row r="360" customFormat="false" ht="15" hidden="false" customHeight="false" outlineLevel="0" collapsed="false">
      <c r="A360" s="93"/>
      <c r="B360" s="129"/>
      <c r="C360" s="160"/>
      <c r="D360" s="160"/>
      <c r="E360" s="102"/>
      <c r="F360" s="102"/>
      <c r="G360" s="102"/>
      <c r="H360" s="103"/>
      <c r="I360" s="104"/>
      <c r="J360" s="18"/>
      <c r="K360" s="6"/>
      <c r="L360" s="132"/>
    </row>
    <row r="361" customFormat="false" ht="15" hidden="false" customHeight="false" outlineLevel="0" collapsed="false">
      <c r="A361" s="93"/>
      <c r="B361" s="129"/>
      <c r="C361" s="129"/>
      <c r="D361" s="129"/>
      <c r="E361" s="102"/>
      <c r="F361" s="102"/>
      <c r="G361" s="102"/>
      <c r="H361" s="103"/>
      <c r="I361" s="104"/>
      <c r="J361" s="18" t="n">
        <f aca="false">E361+F361+G361+H361+I361</f>
        <v>0</v>
      </c>
      <c r="K361" s="6"/>
      <c r="L361" s="132"/>
    </row>
    <row r="362" customFormat="false" ht="15" hidden="false" customHeight="false" outlineLevel="0" collapsed="false">
      <c r="A362" s="93"/>
      <c r="B362" s="129"/>
      <c r="C362" s="129"/>
      <c r="D362" s="129"/>
      <c r="E362" s="102"/>
      <c r="F362" s="102"/>
      <c r="G362" s="18"/>
      <c r="H362" s="104"/>
      <c r="I362" s="104"/>
      <c r="J362" s="18" t="n">
        <f aca="false">E362+F362+G362+H362+I362</f>
        <v>0</v>
      </c>
      <c r="K362" s="6"/>
      <c r="L362" s="132"/>
    </row>
    <row r="363" customFormat="false" ht="15" hidden="false" customHeight="false" outlineLevel="0" collapsed="false">
      <c r="A363" s="6"/>
      <c r="B363" s="101"/>
      <c r="C363" s="101"/>
      <c r="D363" s="101"/>
      <c r="E363" s="22" t="n">
        <f aca="false">SUM(E357:E362)</f>
        <v>0</v>
      </c>
      <c r="F363" s="22" t="n">
        <f aca="false">SUM(F357:F362)</f>
        <v>0</v>
      </c>
      <c r="G363" s="22" t="n">
        <f aca="false">SUM(G357:G362)</f>
        <v>0</v>
      </c>
      <c r="H363" s="22" t="n">
        <f aca="false">SUM(H357:H362)</f>
        <v>0</v>
      </c>
      <c r="I363" s="22" t="n">
        <f aca="false">SUM(I357:I362)</f>
        <v>0</v>
      </c>
      <c r="J363" s="22" t="n">
        <f aca="false">E363+F363+G363+H363+I363</f>
        <v>0</v>
      </c>
      <c r="K363" s="6"/>
      <c r="L363" s="132"/>
    </row>
    <row r="364" customFormat="false" ht="15" hidden="false" customHeight="false" outlineLevel="0" collapsed="false">
      <c r="A364" s="85"/>
      <c r="B364" s="78"/>
      <c r="C364" s="78"/>
      <c r="D364" s="78"/>
      <c r="E364" s="105"/>
      <c r="F364" s="105"/>
      <c r="G364" s="105"/>
      <c r="H364" s="105"/>
      <c r="I364" s="105"/>
      <c r="J364" s="85"/>
    </row>
    <row r="365" customFormat="false" ht="15" hidden="false" customHeight="false" outlineLevel="0" collapsed="false">
      <c r="A365" s="85"/>
      <c r="B365" s="83"/>
      <c r="C365" s="83"/>
      <c r="D365" s="83"/>
      <c r="E365" s="105"/>
      <c r="F365" s="105"/>
      <c r="G365" s="105"/>
      <c r="H365" s="106" t="s">
        <v>85</v>
      </c>
      <c r="I365" s="106"/>
      <c r="J365" s="21" t="n">
        <f aca="false">J351-J363</f>
        <v>3520</v>
      </c>
    </row>
    <row r="366" customFormat="false" ht="15" hidden="false" customHeight="false" outlineLevel="0" collapsed="false">
      <c r="A366" s="85"/>
      <c r="B366" s="83"/>
      <c r="C366" s="83"/>
      <c r="D366" s="83"/>
      <c r="E366" s="105"/>
      <c r="F366" s="105"/>
      <c r="G366" s="105"/>
      <c r="H366" s="105"/>
      <c r="I366" s="105"/>
      <c r="J366" s="85"/>
    </row>
    <row r="367" customFormat="false" ht="15" hidden="false" customHeight="false" outlineLevel="0" collapsed="false">
      <c r="A367" s="85"/>
      <c r="B367" s="36" t="s">
        <v>86</v>
      </c>
      <c r="C367" s="36"/>
      <c r="D367" s="107"/>
      <c r="E367" s="36" t="s">
        <v>87</v>
      </c>
      <c r="F367" s="36"/>
      <c r="G367" s="36"/>
      <c r="H367" s="54"/>
      <c r="I367" s="107"/>
      <c r="J367" s="36" t="s">
        <v>88</v>
      </c>
      <c r="K367" s="36"/>
    </row>
    <row r="368" customFormat="false" ht="15" hidden="false" customHeight="false" outlineLevel="0" collapsed="false">
      <c r="A368" s="85"/>
      <c r="C368" s="107"/>
      <c r="D368" s="107"/>
      <c r="E368" s="107"/>
      <c r="F368" s="107"/>
      <c r="G368" s="107"/>
      <c r="H368" s="107"/>
      <c r="I368" s="107"/>
    </row>
    <row r="369" customFormat="false" ht="15" hidden="false" customHeight="false" outlineLevel="0" collapsed="false">
      <c r="A369" s="85"/>
      <c r="B369" s="108" t="s">
        <v>17</v>
      </c>
      <c r="C369" s="108"/>
      <c r="D369" s="108"/>
      <c r="E369" s="109" t="s">
        <v>22</v>
      </c>
      <c r="F369" s="109"/>
      <c r="G369" s="109"/>
      <c r="H369" s="110"/>
      <c r="J369" s="111" t="s">
        <v>19</v>
      </c>
      <c r="K369" s="111"/>
      <c r="L369" s="111"/>
    </row>
    <row r="370" customFormat="false" ht="15" hidden="false" customHeight="false" outlineLevel="0" collapsed="false">
      <c r="A370" s="85"/>
      <c r="B370" s="36" t="s">
        <v>89</v>
      </c>
      <c r="C370" s="36"/>
      <c r="D370" s="107"/>
      <c r="E370" s="36" t="s">
        <v>90</v>
      </c>
      <c r="F370" s="36"/>
      <c r="G370" s="36"/>
      <c r="H370" s="54"/>
      <c r="J370" s="36" t="s">
        <v>91</v>
      </c>
      <c r="K370" s="36"/>
    </row>
  </sheetData>
  <mergeCells count="246">
    <mergeCell ref="D1:J1"/>
    <mergeCell ref="G2:J2"/>
    <mergeCell ref="B3:K3"/>
    <mergeCell ref="E6:I6"/>
    <mergeCell ref="J6:K6"/>
    <mergeCell ref="B7:D7"/>
    <mergeCell ref="B8:D8"/>
    <mergeCell ref="B9:D9"/>
    <mergeCell ref="B10:D10"/>
    <mergeCell ref="B15:D15"/>
    <mergeCell ref="B16:D16"/>
    <mergeCell ref="B17:D17"/>
    <mergeCell ref="B18:D18"/>
    <mergeCell ref="B19:D19"/>
    <mergeCell ref="C21:I21"/>
    <mergeCell ref="A22:A23"/>
    <mergeCell ref="B22:D23"/>
    <mergeCell ref="E22:J22"/>
    <mergeCell ref="K22:K23"/>
    <mergeCell ref="L22:L23"/>
    <mergeCell ref="B24:D24"/>
    <mergeCell ref="B25:D25"/>
    <mergeCell ref="B26:D26"/>
    <mergeCell ref="B27:D27"/>
    <mergeCell ref="B28:D28"/>
    <mergeCell ref="B29:D29"/>
    <mergeCell ref="B30:D30"/>
    <mergeCell ref="H31:I31"/>
    <mergeCell ref="B34:C34"/>
    <mergeCell ref="E34:G34"/>
    <mergeCell ref="J34:K34"/>
    <mergeCell ref="E36:G36"/>
    <mergeCell ref="J36:L36"/>
    <mergeCell ref="B37:C37"/>
    <mergeCell ref="E37:G37"/>
    <mergeCell ref="J37:K37"/>
    <mergeCell ref="D66:J66"/>
    <mergeCell ref="G67:J67"/>
    <mergeCell ref="B68:K68"/>
    <mergeCell ref="E71:I71"/>
    <mergeCell ref="J71:K71"/>
    <mergeCell ref="B72:D72"/>
    <mergeCell ref="B73:D73"/>
    <mergeCell ref="B74:D74"/>
    <mergeCell ref="B75:D75"/>
    <mergeCell ref="B86:D86"/>
    <mergeCell ref="B87:D87"/>
    <mergeCell ref="B88:D88"/>
    <mergeCell ref="B89:D89"/>
    <mergeCell ref="B90:D90"/>
    <mergeCell ref="C92:I92"/>
    <mergeCell ref="A93:A94"/>
    <mergeCell ref="B93:D94"/>
    <mergeCell ref="E93:J93"/>
    <mergeCell ref="K93:K94"/>
    <mergeCell ref="L93:L94"/>
    <mergeCell ref="B95:D95"/>
    <mergeCell ref="B96:D96"/>
    <mergeCell ref="B97:D97"/>
    <mergeCell ref="B98:D98"/>
    <mergeCell ref="B99:D99"/>
    <mergeCell ref="B100:D100"/>
    <mergeCell ref="B101:D101"/>
    <mergeCell ref="H102:I102"/>
    <mergeCell ref="B104:C104"/>
    <mergeCell ref="E104:G104"/>
    <mergeCell ref="J104:K104"/>
    <mergeCell ref="E106:G106"/>
    <mergeCell ref="J106:L106"/>
    <mergeCell ref="B107:C107"/>
    <mergeCell ref="E107:G107"/>
    <mergeCell ref="J107:K107"/>
    <mergeCell ref="D132:J132"/>
    <mergeCell ref="G133:J133"/>
    <mergeCell ref="B134:K134"/>
    <mergeCell ref="E137:I137"/>
    <mergeCell ref="J137:K137"/>
    <mergeCell ref="B138:D138"/>
    <mergeCell ref="B140:D140"/>
    <mergeCell ref="B141:D141"/>
    <mergeCell ref="B142:D142"/>
    <mergeCell ref="B147:C147"/>
    <mergeCell ref="B153:D153"/>
    <mergeCell ref="B154:D154"/>
    <mergeCell ref="B165:D165"/>
    <mergeCell ref="B166:D166"/>
    <mergeCell ref="C168:I168"/>
    <mergeCell ref="A169:A170"/>
    <mergeCell ref="B169:D170"/>
    <mergeCell ref="E169:J169"/>
    <mergeCell ref="K169:K170"/>
    <mergeCell ref="L169:L170"/>
    <mergeCell ref="B171:D171"/>
    <mergeCell ref="B172:D172"/>
    <mergeCell ref="B173:D173"/>
    <mergeCell ref="B174:D174"/>
    <mergeCell ref="B175:D175"/>
    <mergeCell ref="B176:D176"/>
    <mergeCell ref="B177:D177"/>
    <mergeCell ref="H178:I178"/>
    <mergeCell ref="B180:C180"/>
    <mergeCell ref="E180:G180"/>
    <mergeCell ref="J180:K180"/>
    <mergeCell ref="E182:G182"/>
    <mergeCell ref="J182:L182"/>
    <mergeCell ref="B183:C183"/>
    <mergeCell ref="E183:G183"/>
    <mergeCell ref="J183:K183"/>
    <mergeCell ref="D195:J195"/>
    <mergeCell ref="G196:J196"/>
    <mergeCell ref="B197:K197"/>
    <mergeCell ref="E200:I200"/>
    <mergeCell ref="J200:K200"/>
    <mergeCell ref="B201:D201"/>
    <mergeCell ref="B202:D202"/>
    <mergeCell ref="B203:D203"/>
    <mergeCell ref="B204:D204"/>
    <mergeCell ref="B215:D215"/>
    <mergeCell ref="B216:D216"/>
    <mergeCell ref="B217:D217"/>
    <mergeCell ref="B218:D218"/>
    <mergeCell ref="C220:I220"/>
    <mergeCell ref="A221:A222"/>
    <mergeCell ref="B221:D222"/>
    <mergeCell ref="E221:J221"/>
    <mergeCell ref="K221:K222"/>
    <mergeCell ref="L221:L222"/>
    <mergeCell ref="B223:D223"/>
    <mergeCell ref="B224:D224"/>
    <mergeCell ref="B225:D225"/>
    <mergeCell ref="B226:D226"/>
    <mergeCell ref="B227:D227"/>
    <mergeCell ref="B228:D228"/>
    <mergeCell ref="B229:D229"/>
    <mergeCell ref="H230:I230"/>
    <mergeCell ref="B232:C232"/>
    <mergeCell ref="E232:G232"/>
    <mergeCell ref="J232:K232"/>
    <mergeCell ref="E234:G234"/>
    <mergeCell ref="J234:L234"/>
    <mergeCell ref="B235:C235"/>
    <mergeCell ref="E235:G235"/>
    <mergeCell ref="J235:K235"/>
    <mergeCell ref="D241:J241"/>
    <mergeCell ref="G242:J242"/>
    <mergeCell ref="B243:K243"/>
    <mergeCell ref="E246:I246"/>
    <mergeCell ref="J246:K246"/>
    <mergeCell ref="B247:D247"/>
    <mergeCell ref="B248:D248"/>
    <mergeCell ref="B249:D249"/>
    <mergeCell ref="B250:D250"/>
    <mergeCell ref="B255:D255"/>
    <mergeCell ref="B256:D256"/>
    <mergeCell ref="C258:I258"/>
    <mergeCell ref="A259:A260"/>
    <mergeCell ref="B259:D260"/>
    <mergeCell ref="E259:J259"/>
    <mergeCell ref="K259:K260"/>
    <mergeCell ref="L259:L260"/>
    <mergeCell ref="B261:D261"/>
    <mergeCell ref="B262:D262"/>
    <mergeCell ref="B263:D263"/>
    <mergeCell ref="B264:D264"/>
    <mergeCell ref="B265:D265"/>
    <mergeCell ref="B266:D266"/>
    <mergeCell ref="B267:D267"/>
    <mergeCell ref="H268:I268"/>
    <mergeCell ref="B270:C270"/>
    <mergeCell ref="E270:G270"/>
    <mergeCell ref="J270:K270"/>
    <mergeCell ref="E272:G272"/>
    <mergeCell ref="J272:L272"/>
    <mergeCell ref="B273:C273"/>
    <mergeCell ref="E273:G273"/>
    <mergeCell ref="J273:K273"/>
    <mergeCell ref="D281:J281"/>
    <mergeCell ref="G282:J282"/>
    <mergeCell ref="B283:K283"/>
    <mergeCell ref="E286:I286"/>
    <mergeCell ref="J286:K286"/>
    <mergeCell ref="B287:D287"/>
    <mergeCell ref="B288:D288"/>
    <mergeCell ref="B289:D289"/>
    <mergeCell ref="B290:D290"/>
    <mergeCell ref="B299:D299"/>
    <mergeCell ref="B302:D302"/>
    <mergeCell ref="B303:D303"/>
    <mergeCell ref="B304:D304"/>
    <mergeCell ref="B305:D305"/>
    <mergeCell ref="C307:I307"/>
    <mergeCell ref="A308:A309"/>
    <mergeCell ref="B308:D309"/>
    <mergeCell ref="E308:J308"/>
    <mergeCell ref="K308:K309"/>
    <mergeCell ref="L308:L309"/>
    <mergeCell ref="B310:D310"/>
    <mergeCell ref="B311:D311"/>
    <mergeCell ref="B314:D314"/>
    <mergeCell ref="B315:D315"/>
    <mergeCell ref="B316:D316"/>
    <mergeCell ref="B317:D317"/>
    <mergeCell ref="H318:I318"/>
    <mergeCell ref="B320:C320"/>
    <mergeCell ref="E320:G320"/>
    <mergeCell ref="J320:K320"/>
    <mergeCell ref="E322:G322"/>
    <mergeCell ref="J322:L322"/>
    <mergeCell ref="B323:C323"/>
    <mergeCell ref="E323:G323"/>
    <mergeCell ref="J323:K323"/>
    <mergeCell ref="D328:J328"/>
    <mergeCell ref="G329:J329"/>
    <mergeCell ref="B330:K330"/>
    <mergeCell ref="E333:I333"/>
    <mergeCell ref="J333:K333"/>
    <mergeCell ref="B334:D334"/>
    <mergeCell ref="B335:D335"/>
    <mergeCell ref="B336:D336"/>
    <mergeCell ref="B337:D337"/>
    <mergeCell ref="B346:D346"/>
    <mergeCell ref="B349:D349"/>
    <mergeCell ref="B350:D350"/>
    <mergeCell ref="B351:D351"/>
    <mergeCell ref="B352:D352"/>
    <mergeCell ref="C354:I354"/>
    <mergeCell ref="A355:A356"/>
    <mergeCell ref="B355:D356"/>
    <mergeCell ref="E355:J355"/>
    <mergeCell ref="K355:K356"/>
    <mergeCell ref="L355:L356"/>
    <mergeCell ref="B357:D357"/>
    <mergeCell ref="B358:D358"/>
    <mergeCell ref="B361:D361"/>
    <mergeCell ref="B362:D362"/>
    <mergeCell ref="B363:D363"/>
    <mergeCell ref="B364:D364"/>
    <mergeCell ref="H365:I365"/>
    <mergeCell ref="B367:C367"/>
    <mergeCell ref="E367:G367"/>
    <mergeCell ref="J367:K367"/>
    <mergeCell ref="E369:G369"/>
    <mergeCell ref="J369:L369"/>
    <mergeCell ref="B370:C370"/>
    <mergeCell ref="E370:G370"/>
    <mergeCell ref="J370:K370"/>
  </mergeCells>
  <printOptions headings="false" gridLines="false" gridLinesSet="true" horizontalCentered="false" verticalCentered="false"/>
  <pageMargins left="0.708333333333333" right="0.708333333333333" top="0.748611111111111" bottom="0.747916666666667" header="0.315277777777778" footer="0.511811023622047"/>
  <pageSetup paperSize="1" scale="70" fitToWidth="1" fitToHeight="1" pageOrder="downThenOver" orientation="portrait" blackAndWhite="false" draft="false" cellComments="none" horizontalDpi="300" verticalDpi="300" copies="1"/>
  <headerFooter differentFirst="false" differentOddEven="false">
    <oddHeader>&amp;Cm</oddHeader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47"/>
  <sheetViews>
    <sheetView showFormulas="false" showGridLines="true" showRowColHeaders="true" showZeros="true" rightToLeft="false" tabSelected="false" showOutlineSymbols="true" defaultGridColor="true" view="normal" topLeftCell="A220" colorId="64" zoomScale="100" zoomScaleNormal="100" zoomScalePageLayoutView="100" workbookViewId="0">
      <selection pane="topLeft" activeCell="B230" activeCellId="0" sqref="B230"/>
    </sheetView>
  </sheetViews>
  <sheetFormatPr defaultColWidth="10.95703125" defaultRowHeight="15" zeroHeight="false" outlineLevelRow="0" outlineLevelCol="0"/>
  <cols>
    <col collapsed="false" customWidth="true" hidden="false" outlineLevel="0" max="1" min="1" style="1" width="5.4"/>
    <col collapsed="false" customWidth="true" hidden="false" outlineLevel="0" max="2" min="2" style="1" width="10.4"/>
    <col collapsed="false" customWidth="true" hidden="false" outlineLevel="0" max="3" min="3" style="1" width="11.55"/>
    <col collapsed="false" customWidth="true" hidden="false" outlineLevel="0" max="5" min="5" style="1" width="10.84"/>
    <col collapsed="false" customWidth="true" hidden="false" outlineLevel="0" max="6" min="6" style="1" width="9.69"/>
    <col collapsed="false" customWidth="true" hidden="false" outlineLevel="0" max="7" min="7" style="1" width="9.98"/>
    <col collapsed="false" customWidth="true" hidden="false" outlineLevel="0" max="8" min="8" style="1" width="9.27"/>
    <col collapsed="false" customWidth="true" hidden="false" outlineLevel="0" max="10" min="10" style="1" width="13.55"/>
    <col collapsed="false" customWidth="true" hidden="false" outlineLevel="0" max="11" min="11" style="1" width="13.13"/>
    <col collapsed="false" customWidth="true" hidden="false" outlineLevel="0" max="13" min="12" style="1" width="14.13"/>
  </cols>
  <sheetData>
    <row r="2" customFormat="false" ht="15" hidden="false" customHeight="false" outlineLevel="0" collapsed="false">
      <c r="C2" s="164"/>
      <c r="D2" s="165"/>
      <c r="E2" s="165"/>
      <c r="F2" s="165"/>
      <c r="G2" s="165"/>
    </row>
    <row r="3" customFormat="false" ht="15" hidden="false" customHeight="false" outlineLevel="0" collapsed="false">
      <c r="C3" s="20" t="s">
        <v>284</v>
      </c>
      <c r="D3" s="1"/>
    </row>
    <row r="4" customFormat="false" ht="15" hidden="false" customHeight="false" outlineLevel="0" collapsed="false">
      <c r="B4" s="20" t="s">
        <v>285</v>
      </c>
      <c r="C4" s="166"/>
      <c r="D4" s="167" t="n">
        <v>18</v>
      </c>
      <c r="E4" s="154" t="s">
        <v>286</v>
      </c>
      <c r="F4" s="168" t="s">
        <v>287</v>
      </c>
      <c r="G4" s="169"/>
      <c r="I4" s="170"/>
    </row>
    <row r="5" customFormat="false" ht="15" hidden="false" customHeight="false" outlineLevel="0" collapsed="false">
      <c r="B5" s="20"/>
      <c r="C5" s="166"/>
      <c r="D5" s="1"/>
      <c r="F5" s="171"/>
      <c r="G5" s="171"/>
      <c r="I5" s="172"/>
    </row>
    <row r="6" customFormat="false" ht="19.7" hidden="false" customHeight="false" outlineLevel="0" collapsed="false">
      <c r="A6" s="39"/>
      <c r="B6" s="173"/>
      <c r="C6" s="174" t="s">
        <v>53</v>
      </c>
      <c r="D6" s="174"/>
      <c r="E6" s="174"/>
      <c r="F6" s="174"/>
      <c r="G6" s="175"/>
      <c r="H6" s="175"/>
      <c r="I6" s="37"/>
    </row>
    <row r="7" customFormat="false" ht="15" hidden="false" customHeight="false" outlineLevel="0" collapsed="false">
      <c r="A7" s="39"/>
      <c r="B7" s="126" t="s">
        <v>288</v>
      </c>
      <c r="C7" s="92" t="s">
        <v>289</v>
      </c>
      <c r="D7" s="92" t="s">
        <v>290</v>
      </c>
      <c r="E7" s="92" t="s">
        <v>291</v>
      </c>
      <c r="F7" s="92"/>
      <c r="G7" s="92" t="s">
        <v>292</v>
      </c>
      <c r="H7" s="92"/>
      <c r="I7" s="37"/>
    </row>
    <row r="8" customFormat="false" ht="15" hidden="false" customHeight="false" outlineLevel="0" collapsed="false">
      <c r="A8" s="39"/>
      <c r="B8" s="176" t="n">
        <f aca="false">'INGRESOS Y EGRESOS'!E18</f>
        <v>7475</v>
      </c>
      <c r="C8" s="177" t="n">
        <v>0</v>
      </c>
      <c r="D8" s="178" t="n">
        <f aca="false">B8+C8</f>
        <v>7475</v>
      </c>
      <c r="E8" s="179" t="n">
        <f aca="false">'INGRESOS Y EGRESOS'!E29</f>
        <v>5674</v>
      </c>
      <c r="F8" s="179"/>
      <c r="G8" s="180" t="n">
        <f aca="false">D8-E8</f>
        <v>1801</v>
      </c>
      <c r="H8" s="180"/>
      <c r="I8" s="37"/>
    </row>
    <row r="9" customFormat="false" ht="15" hidden="false" customHeight="false" outlineLevel="0" collapsed="false">
      <c r="A9" s="39"/>
      <c r="B9" s="42"/>
      <c r="C9" s="39"/>
      <c r="D9" s="39"/>
      <c r="E9" s="39"/>
      <c r="F9" s="39"/>
      <c r="G9" s="181"/>
      <c r="H9" s="181"/>
      <c r="I9" s="37"/>
    </row>
    <row r="10" customFormat="false" ht="19.7" hidden="false" customHeight="false" outlineLevel="0" collapsed="false">
      <c r="A10" s="182"/>
      <c r="B10" s="37"/>
      <c r="C10" s="183" t="s">
        <v>293</v>
      </c>
      <c r="D10" s="183"/>
      <c r="E10" s="183"/>
      <c r="F10" s="183"/>
      <c r="G10" s="39"/>
      <c r="H10" s="37"/>
      <c r="I10" s="37"/>
    </row>
    <row r="11" customFormat="false" ht="15" hidden="false" customHeight="false" outlineLevel="0" collapsed="false">
      <c r="A11" s="37"/>
      <c r="B11" s="126" t="s">
        <v>294</v>
      </c>
      <c r="C11" s="92" t="s">
        <v>289</v>
      </c>
      <c r="D11" s="92" t="s">
        <v>290</v>
      </c>
      <c r="E11" s="92" t="s">
        <v>291</v>
      </c>
      <c r="F11" s="92"/>
      <c r="G11" s="92" t="s">
        <v>292</v>
      </c>
      <c r="H11" s="92"/>
      <c r="I11" s="37"/>
    </row>
    <row r="12" customFormat="false" ht="15" hidden="false" customHeight="false" outlineLevel="0" collapsed="false">
      <c r="A12" s="37"/>
      <c r="B12" s="184" t="n">
        <f aca="false">'INGRESOS Y EGRESOS'!F18</f>
        <v>500</v>
      </c>
      <c r="C12" s="177" t="n">
        <v>0</v>
      </c>
      <c r="D12" s="178" t="n">
        <f aca="false">B12+C12</f>
        <v>500</v>
      </c>
      <c r="E12" s="185" t="n">
        <v>0</v>
      </c>
      <c r="F12" s="185"/>
      <c r="G12" s="186" t="n">
        <f aca="false">D12-E12</f>
        <v>500</v>
      </c>
      <c r="H12" s="186"/>
      <c r="I12" s="37"/>
    </row>
    <row r="13" customFormat="false" ht="15" hidden="false" customHeight="false" outlineLevel="0" collapsed="false">
      <c r="A13" s="37"/>
      <c r="B13" s="187"/>
      <c r="C13" s="187"/>
      <c r="D13" s="187"/>
      <c r="E13" s="188"/>
      <c r="F13" s="188"/>
      <c r="G13" s="189"/>
      <c r="H13" s="189"/>
      <c r="I13" s="37"/>
    </row>
    <row r="14" customFormat="false" ht="19.7" hidden="false" customHeight="false" outlineLevel="0" collapsed="false">
      <c r="A14" s="37"/>
      <c r="B14" s="190"/>
      <c r="C14" s="191" t="s">
        <v>295</v>
      </c>
      <c r="D14" s="191"/>
      <c r="E14" s="191"/>
      <c r="F14" s="191"/>
      <c r="G14" s="192"/>
      <c r="H14" s="40"/>
      <c r="I14" s="193"/>
    </row>
    <row r="15" customFormat="false" ht="15" hidden="false" customHeight="false" outlineLevel="0" collapsed="false">
      <c r="A15" s="37"/>
      <c r="B15" s="106" t="s">
        <v>294</v>
      </c>
      <c r="C15" s="114" t="s">
        <v>289</v>
      </c>
      <c r="D15" s="114" t="s">
        <v>290</v>
      </c>
      <c r="E15" s="114" t="s">
        <v>291</v>
      </c>
      <c r="F15" s="114"/>
      <c r="G15" s="114" t="s">
        <v>292</v>
      </c>
      <c r="H15" s="114"/>
      <c r="I15" s="193"/>
    </row>
    <row r="16" customFormat="false" ht="15" hidden="false" customHeight="false" outlineLevel="0" collapsed="false">
      <c r="A16" s="194"/>
      <c r="B16" s="184" t="n">
        <v>709</v>
      </c>
      <c r="C16" s="177"/>
      <c r="D16" s="178" t="n">
        <f aca="false">B16+C16</f>
        <v>709</v>
      </c>
      <c r="E16" s="185" t="n">
        <v>0</v>
      </c>
      <c r="F16" s="185"/>
      <c r="G16" s="186" t="n">
        <f aca="false">D16-E16</f>
        <v>709</v>
      </c>
      <c r="H16" s="186"/>
      <c r="I16" s="195"/>
    </row>
    <row r="17" customFormat="false" ht="15" hidden="false" customHeight="false" outlineLevel="0" collapsed="false">
      <c r="A17" s="37"/>
      <c r="B17" s="196"/>
      <c r="C17" s="196"/>
      <c r="D17" s="196"/>
      <c r="E17" s="197"/>
      <c r="F17" s="197"/>
      <c r="G17" s="197"/>
      <c r="H17" s="197"/>
      <c r="I17" s="198"/>
    </row>
    <row r="18" customFormat="false" ht="19.7" hidden="false" customHeight="false" outlineLevel="0" collapsed="false">
      <c r="A18" s="37"/>
      <c r="B18" s="196"/>
      <c r="C18" s="191" t="s">
        <v>296</v>
      </c>
      <c r="D18" s="191"/>
      <c r="E18" s="191"/>
      <c r="F18" s="191"/>
      <c r="G18" s="197"/>
      <c r="H18" s="197"/>
      <c r="I18" s="198"/>
    </row>
    <row r="19" customFormat="false" ht="15" hidden="false" customHeight="false" outlineLevel="0" collapsed="false">
      <c r="A19" s="37"/>
      <c r="B19" s="106" t="s">
        <v>294</v>
      </c>
      <c r="C19" s="114" t="s">
        <v>289</v>
      </c>
      <c r="D19" s="114" t="s">
        <v>290</v>
      </c>
      <c r="E19" s="114" t="s">
        <v>291</v>
      </c>
      <c r="F19" s="114"/>
      <c r="G19" s="114" t="s">
        <v>292</v>
      </c>
      <c r="H19" s="114"/>
      <c r="I19" s="198"/>
    </row>
    <row r="20" customFormat="false" ht="15" hidden="false" customHeight="false" outlineLevel="0" collapsed="false">
      <c r="A20" s="37"/>
      <c r="B20" s="184" t="n">
        <v>75</v>
      </c>
      <c r="C20" s="177" t="n">
        <v>0</v>
      </c>
      <c r="D20" s="178" t="n">
        <f aca="false">B20+C20</f>
        <v>75</v>
      </c>
      <c r="E20" s="185" t="n">
        <v>0</v>
      </c>
      <c r="F20" s="185"/>
      <c r="G20" s="186" t="n">
        <f aca="false">D20-E20</f>
        <v>75</v>
      </c>
      <c r="H20" s="186"/>
      <c r="I20" s="198"/>
    </row>
    <row r="21" customFormat="false" ht="15" hidden="false" customHeight="false" outlineLevel="0" collapsed="false">
      <c r="A21" s="37"/>
      <c r="B21" s="199"/>
      <c r="C21" s="199"/>
      <c r="D21" s="198"/>
      <c r="E21" s="200"/>
      <c r="F21" s="200"/>
      <c r="G21" s="201"/>
      <c r="H21" s="201"/>
      <c r="I21" s="198"/>
    </row>
    <row r="22" customFormat="false" ht="17.15" hidden="false" customHeight="false" outlineLevel="0" collapsed="false">
      <c r="A22" s="37"/>
      <c r="B22" s="40"/>
      <c r="C22" s="202" t="s">
        <v>297</v>
      </c>
      <c r="D22" s="202"/>
      <c r="E22" s="202"/>
      <c r="F22" s="202"/>
      <c r="G22" s="40"/>
      <c r="H22" s="40"/>
      <c r="I22" s="203"/>
    </row>
    <row r="23" customFormat="false" ht="15" hidden="false" customHeight="false" outlineLevel="0" collapsed="false">
      <c r="A23" s="204"/>
      <c r="B23" s="106" t="s">
        <v>294</v>
      </c>
      <c r="C23" s="114" t="s">
        <v>289</v>
      </c>
      <c r="D23" s="114" t="s">
        <v>290</v>
      </c>
      <c r="E23" s="114" t="s">
        <v>291</v>
      </c>
      <c r="F23" s="114"/>
      <c r="G23" s="114" t="s">
        <v>292</v>
      </c>
      <c r="H23" s="114"/>
      <c r="I23" s="205"/>
    </row>
    <row r="24" customFormat="false" ht="15" hidden="false" customHeight="false" outlineLevel="0" collapsed="false">
      <c r="A24" s="204"/>
      <c r="B24" s="184" t="n">
        <v>128</v>
      </c>
      <c r="C24" s="177" t="n">
        <v>0</v>
      </c>
      <c r="D24" s="178" t="n">
        <f aca="false">B24+C24</f>
        <v>128</v>
      </c>
      <c r="E24" s="185" t="n">
        <v>0</v>
      </c>
      <c r="F24" s="185"/>
      <c r="G24" s="186" t="n">
        <f aca="false">D24-E24</f>
        <v>128</v>
      </c>
      <c r="H24" s="186"/>
      <c r="I24" s="205"/>
    </row>
    <row r="25" customFormat="false" ht="15" hidden="false" customHeight="false" outlineLevel="0" collapsed="false">
      <c r="A25" s="204"/>
      <c r="B25" s="78"/>
      <c r="C25" s="78"/>
      <c r="D25" s="78"/>
      <c r="E25" s="42"/>
      <c r="F25" s="206"/>
      <c r="G25" s="207"/>
      <c r="H25" s="45"/>
      <c r="I25" s="205"/>
    </row>
    <row r="26" customFormat="false" ht="15" hidden="false" customHeight="false" outlineLevel="0" collapsed="false">
      <c r="A26" s="204"/>
      <c r="B26" s="208"/>
      <c r="C26" s="208"/>
      <c r="D26" s="208"/>
      <c r="E26" s="208"/>
      <c r="F26" s="208"/>
      <c r="G26" s="208"/>
      <c r="H26" s="208"/>
      <c r="I26" s="205"/>
    </row>
    <row r="27" customFormat="false" ht="15" hidden="false" customHeight="false" outlineLevel="0" collapsed="false">
      <c r="A27" s="204"/>
      <c r="B27" s="208"/>
      <c r="C27" s="209"/>
      <c r="D27" s="209"/>
      <c r="E27" s="126" t="s">
        <v>298</v>
      </c>
      <c r="F27" s="126"/>
      <c r="G27" s="210" t="n">
        <f aca="false">G8+G12+G16+G20+G24</f>
        <v>3213</v>
      </c>
      <c r="H27" s="210"/>
      <c r="I27" s="205"/>
    </row>
    <row r="28" customFormat="false" ht="15" hidden="false" customHeight="false" outlineLevel="0" collapsed="false">
      <c r="A28" s="204"/>
      <c r="B28" s="111"/>
      <c r="C28" s="78"/>
      <c r="D28" s="78"/>
      <c r="E28" s="197"/>
      <c r="F28" s="197"/>
      <c r="G28" s="206"/>
      <c r="H28" s="206"/>
      <c r="I28" s="203"/>
    </row>
    <row r="29" customFormat="false" ht="15" hidden="false" customHeight="false" outlineLevel="0" collapsed="false">
      <c r="A29" s="204"/>
      <c r="B29" s="111"/>
      <c r="C29" s="78"/>
      <c r="D29" s="78"/>
      <c r="E29" s="197"/>
      <c r="F29" s="197"/>
      <c r="G29" s="206"/>
      <c r="H29" s="206"/>
      <c r="I29" s="203"/>
    </row>
    <row r="30" customFormat="false" ht="15" hidden="false" customHeight="false" outlineLevel="0" collapsed="false">
      <c r="B30" s="54" t="s">
        <v>86</v>
      </c>
      <c r="C30" s="107"/>
      <c r="D30" s="36" t="s">
        <v>87</v>
      </c>
      <c r="E30" s="36"/>
      <c r="G30" s="36" t="s">
        <v>88</v>
      </c>
      <c r="H30" s="36"/>
      <c r="I30" s="36"/>
    </row>
    <row r="31" customFormat="false" ht="15" hidden="false" customHeight="false" outlineLevel="0" collapsed="false">
      <c r="B31" s="107"/>
      <c r="C31" s="107"/>
      <c r="D31" s="107"/>
      <c r="E31" s="107"/>
      <c r="F31" s="107"/>
      <c r="G31" s="107"/>
    </row>
    <row r="32" customFormat="false" ht="15" hidden="false" customHeight="false" outlineLevel="0" collapsed="false">
      <c r="A32" s="36" t="s">
        <v>17</v>
      </c>
      <c r="B32" s="36"/>
      <c r="C32" s="36"/>
      <c r="D32" s="194" t="s">
        <v>22</v>
      </c>
      <c r="E32" s="194"/>
      <c r="G32" s="208" t="s">
        <v>19</v>
      </c>
      <c r="H32" s="208"/>
      <c r="I32" s="208"/>
    </row>
    <row r="33" customFormat="false" ht="15" hidden="false" customHeight="false" outlineLevel="0" collapsed="false">
      <c r="B33" s="54" t="s">
        <v>89</v>
      </c>
      <c r="D33" s="36" t="s">
        <v>299</v>
      </c>
      <c r="E33" s="36"/>
      <c r="F33" s="107" t="s">
        <v>21</v>
      </c>
      <c r="G33" s="36" t="s">
        <v>91</v>
      </c>
      <c r="H33" s="36"/>
      <c r="I33" s="36"/>
    </row>
    <row r="34" customFormat="false" ht="15" hidden="false" customHeight="false" outlineLevel="0" collapsed="false">
      <c r="B34" s="54"/>
      <c r="C34" s="54"/>
      <c r="D34" s="54"/>
      <c r="E34" s="54"/>
      <c r="F34" s="107"/>
      <c r="G34" s="107"/>
    </row>
    <row r="46" customFormat="false" ht="15" hidden="false" customHeight="false" outlineLevel="0" collapsed="false">
      <c r="C46" s="164"/>
      <c r="D46" s="165"/>
      <c r="E46" s="165"/>
      <c r="F46" s="165"/>
      <c r="G46" s="165"/>
    </row>
    <row r="47" customFormat="false" ht="15" hidden="false" customHeight="false" outlineLevel="0" collapsed="false">
      <c r="C47" s="20" t="s">
        <v>284</v>
      </c>
      <c r="D47" s="1"/>
    </row>
    <row r="48" customFormat="false" ht="15" hidden="false" customHeight="false" outlineLevel="0" collapsed="false">
      <c r="B48" s="20" t="s">
        <v>285</v>
      </c>
      <c r="C48" s="166"/>
      <c r="D48" s="167" t="n">
        <v>18</v>
      </c>
      <c r="E48" s="154" t="s">
        <v>286</v>
      </c>
      <c r="F48" s="168" t="s">
        <v>300</v>
      </c>
      <c r="G48" s="169"/>
      <c r="I48" s="170"/>
    </row>
    <row r="49" customFormat="false" ht="15" hidden="false" customHeight="false" outlineLevel="0" collapsed="false">
      <c r="B49" s="20"/>
      <c r="C49" s="166"/>
      <c r="D49" s="1"/>
      <c r="F49" s="171"/>
      <c r="G49" s="171"/>
      <c r="I49" s="172"/>
    </row>
    <row r="50" customFormat="false" ht="19.7" hidden="false" customHeight="false" outlineLevel="0" collapsed="false">
      <c r="A50" s="39"/>
      <c r="B50" s="173"/>
      <c r="C50" s="174" t="s">
        <v>53</v>
      </c>
      <c r="D50" s="174"/>
      <c r="E50" s="174"/>
      <c r="F50" s="174"/>
      <c r="G50" s="175"/>
      <c r="H50" s="175"/>
      <c r="I50" s="37"/>
    </row>
    <row r="51" customFormat="false" ht="15" hidden="false" customHeight="false" outlineLevel="0" collapsed="false">
      <c r="A51" s="39"/>
      <c r="B51" s="126" t="s">
        <v>288</v>
      </c>
      <c r="C51" s="92" t="s">
        <v>289</v>
      </c>
      <c r="D51" s="92" t="s">
        <v>290</v>
      </c>
      <c r="E51" s="92" t="s">
        <v>291</v>
      </c>
      <c r="F51" s="92"/>
      <c r="G51" s="92" t="s">
        <v>292</v>
      </c>
      <c r="H51" s="92"/>
      <c r="I51" s="37"/>
    </row>
    <row r="52" customFormat="false" ht="15" hidden="false" customHeight="false" outlineLevel="0" collapsed="false">
      <c r="A52" s="39"/>
      <c r="B52" s="176" t="n">
        <f aca="false">'INGRESOS Y EGRESOS'!E89</f>
        <v>9550</v>
      </c>
      <c r="C52" s="177" t="n">
        <f aca="false">G8</f>
        <v>1801</v>
      </c>
      <c r="D52" s="178" t="n">
        <f aca="false">B52+C52</f>
        <v>11351</v>
      </c>
      <c r="E52" s="179" t="n">
        <f aca="false">'INGRESOS Y EGRESOS'!E100</f>
        <v>4844</v>
      </c>
      <c r="F52" s="179"/>
      <c r="G52" s="180" t="n">
        <f aca="false">D52-E52</f>
        <v>6507</v>
      </c>
      <c r="H52" s="180"/>
      <c r="I52" s="37"/>
    </row>
    <row r="53" customFormat="false" ht="15" hidden="false" customHeight="false" outlineLevel="0" collapsed="false">
      <c r="A53" s="39"/>
      <c r="B53" s="42"/>
      <c r="C53" s="39"/>
      <c r="D53" s="39"/>
      <c r="E53" s="39"/>
      <c r="F53" s="39"/>
      <c r="G53" s="181"/>
      <c r="H53" s="181"/>
      <c r="I53" s="37"/>
    </row>
    <row r="54" customFormat="false" ht="19.7" hidden="false" customHeight="false" outlineLevel="0" collapsed="false">
      <c r="A54" s="182"/>
      <c r="B54" s="37"/>
      <c r="C54" s="183" t="s">
        <v>293</v>
      </c>
      <c r="D54" s="183"/>
      <c r="E54" s="183"/>
      <c r="F54" s="183"/>
      <c r="G54" s="39"/>
      <c r="H54" s="37"/>
      <c r="I54" s="37"/>
    </row>
    <row r="55" customFormat="false" ht="15" hidden="false" customHeight="false" outlineLevel="0" collapsed="false">
      <c r="A55" s="37"/>
      <c r="B55" s="126" t="s">
        <v>294</v>
      </c>
      <c r="C55" s="92" t="s">
        <v>289</v>
      </c>
      <c r="D55" s="92" t="s">
        <v>290</v>
      </c>
      <c r="E55" s="92" t="s">
        <v>291</v>
      </c>
      <c r="F55" s="92"/>
      <c r="G55" s="92" t="s">
        <v>292</v>
      </c>
      <c r="H55" s="92"/>
      <c r="I55" s="37"/>
    </row>
    <row r="56" customFormat="false" ht="15" hidden="false" customHeight="false" outlineLevel="0" collapsed="false">
      <c r="A56" s="37"/>
      <c r="B56" s="184" t="n">
        <f aca="false">'INGRESOS Y EGRESOS'!F89</f>
        <v>1650</v>
      </c>
      <c r="C56" s="177" t="n">
        <f aca="false">G12</f>
        <v>500</v>
      </c>
      <c r="D56" s="178" t="n">
        <f aca="false">B56+C56</f>
        <v>2150</v>
      </c>
      <c r="E56" s="185" t="n">
        <v>0</v>
      </c>
      <c r="F56" s="185"/>
      <c r="G56" s="186" t="n">
        <f aca="false">D56-E56</f>
        <v>2150</v>
      </c>
      <c r="H56" s="186"/>
      <c r="I56" s="37"/>
    </row>
    <row r="57" customFormat="false" ht="15" hidden="false" customHeight="false" outlineLevel="0" collapsed="false">
      <c r="A57" s="37"/>
      <c r="B57" s="187"/>
      <c r="C57" s="187"/>
      <c r="D57" s="187"/>
      <c r="E57" s="188"/>
      <c r="F57" s="188"/>
      <c r="G57" s="189"/>
      <c r="H57" s="189"/>
      <c r="I57" s="37"/>
    </row>
    <row r="58" customFormat="false" ht="19.7" hidden="false" customHeight="false" outlineLevel="0" collapsed="false">
      <c r="A58" s="37"/>
      <c r="B58" s="190"/>
      <c r="C58" s="191" t="s">
        <v>295</v>
      </c>
      <c r="D58" s="191"/>
      <c r="E58" s="191"/>
      <c r="F58" s="191"/>
      <c r="G58" s="192"/>
      <c r="H58" s="40"/>
      <c r="I58" s="193"/>
    </row>
    <row r="59" customFormat="false" ht="15" hidden="false" customHeight="false" outlineLevel="0" collapsed="false">
      <c r="A59" s="37"/>
      <c r="B59" s="106" t="s">
        <v>294</v>
      </c>
      <c r="C59" s="114" t="s">
        <v>289</v>
      </c>
      <c r="D59" s="114" t="s">
        <v>290</v>
      </c>
      <c r="E59" s="114" t="s">
        <v>291</v>
      </c>
      <c r="F59" s="114"/>
      <c r="G59" s="114" t="s">
        <v>292</v>
      </c>
      <c r="H59" s="114"/>
      <c r="I59" s="193"/>
    </row>
    <row r="60" customFormat="false" ht="15" hidden="false" customHeight="false" outlineLevel="0" collapsed="false">
      <c r="A60" s="194"/>
      <c r="B60" s="184" t="n">
        <f aca="false">'INGRESOS Y EGRESOS'!G89</f>
        <v>440</v>
      </c>
      <c r="C60" s="177" t="n">
        <f aca="false">G16</f>
        <v>709</v>
      </c>
      <c r="D60" s="178" t="n">
        <f aca="false">B60+C60</f>
        <v>1149</v>
      </c>
      <c r="E60" s="185" t="n">
        <v>0</v>
      </c>
      <c r="F60" s="185"/>
      <c r="G60" s="186" t="n">
        <f aca="false">D60-E60</f>
        <v>1149</v>
      </c>
      <c r="H60" s="186"/>
      <c r="I60" s="195"/>
    </row>
    <row r="61" customFormat="false" ht="15" hidden="false" customHeight="false" outlineLevel="0" collapsed="false">
      <c r="A61" s="37"/>
      <c r="B61" s="196"/>
      <c r="C61" s="196"/>
      <c r="D61" s="196"/>
      <c r="E61" s="197"/>
      <c r="F61" s="197"/>
      <c r="G61" s="197"/>
      <c r="H61" s="197"/>
      <c r="I61" s="198"/>
    </row>
    <row r="62" customFormat="false" ht="19.7" hidden="false" customHeight="false" outlineLevel="0" collapsed="false">
      <c r="A62" s="37"/>
      <c r="B62" s="196"/>
      <c r="C62" s="191" t="s">
        <v>296</v>
      </c>
      <c r="D62" s="191"/>
      <c r="E62" s="191"/>
      <c r="F62" s="191"/>
      <c r="G62" s="197"/>
      <c r="H62" s="197"/>
      <c r="I62" s="198"/>
    </row>
    <row r="63" customFormat="false" ht="15" hidden="false" customHeight="false" outlineLevel="0" collapsed="false">
      <c r="A63" s="37"/>
      <c r="B63" s="106" t="s">
        <v>294</v>
      </c>
      <c r="C63" s="114" t="s">
        <v>289</v>
      </c>
      <c r="D63" s="114" t="s">
        <v>290</v>
      </c>
      <c r="E63" s="114" t="s">
        <v>291</v>
      </c>
      <c r="F63" s="114"/>
      <c r="G63" s="114" t="s">
        <v>292</v>
      </c>
      <c r="H63" s="114"/>
      <c r="I63" s="198"/>
    </row>
    <row r="64" customFormat="false" ht="15" hidden="false" customHeight="false" outlineLevel="0" collapsed="false">
      <c r="A64" s="37"/>
      <c r="B64" s="184" t="n">
        <f aca="false">'INGRESOS Y EGRESOS'!H89</f>
        <v>450</v>
      </c>
      <c r="C64" s="177" t="n">
        <f aca="false">G20</f>
        <v>75</v>
      </c>
      <c r="D64" s="178" t="n">
        <f aca="false">B64+C64</f>
        <v>525</v>
      </c>
      <c r="E64" s="185" t="n">
        <v>0</v>
      </c>
      <c r="F64" s="185"/>
      <c r="G64" s="186" t="n">
        <f aca="false">D64-E64</f>
        <v>525</v>
      </c>
      <c r="H64" s="186"/>
      <c r="I64" s="198"/>
    </row>
    <row r="65" customFormat="false" ht="15" hidden="false" customHeight="false" outlineLevel="0" collapsed="false">
      <c r="A65" s="37"/>
      <c r="B65" s="199"/>
      <c r="C65" s="199"/>
      <c r="D65" s="198"/>
      <c r="E65" s="200"/>
      <c r="F65" s="200"/>
      <c r="G65" s="201"/>
      <c r="H65" s="201"/>
      <c r="I65" s="198"/>
    </row>
    <row r="66" customFormat="false" ht="17.15" hidden="false" customHeight="false" outlineLevel="0" collapsed="false">
      <c r="A66" s="37"/>
      <c r="B66" s="40"/>
      <c r="C66" s="202" t="s">
        <v>297</v>
      </c>
      <c r="D66" s="202"/>
      <c r="E66" s="202"/>
      <c r="F66" s="202"/>
      <c r="G66" s="40"/>
      <c r="H66" s="40"/>
      <c r="I66" s="203"/>
    </row>
    <row r="67" customFormat="false" ht="15" hidden="false" customHeight="false" outlineLevel="0" collapsed="false">
      <c r="A67" s="204"/>
      <c r="B67" s="106" t="s">
        <v>294</v>
      </c>
      <c r="C67" s="114" t="s">
        <v>289</v>
      </c>
      <c r="D67" s="114" t="s">
        <v>290</v>
      </c>
      <c r="E67" s="114" t="s">
        <v>291</v>
      </c>
      <c r="F67" s="114"/>
      <c r="G67" s="114" t="s">
        <v>292</v>
      </c>
      <c r="H67" s="114"/>
      <c r="I67" s="205"/>
    </row>
    <row r="68" customFormat="false" ht="15" hidden="false" customHeight="false" outlineLevel="0" collapsed="false">
      <c r="A68" s="204"/>
      <c r="B68" s="184" t="n">
        <f aca="false">'INGRESOS Y EGRESOS'!I89</f>
        <v>0</v>
      </c>
      <c r="C68" s="177" t="n">
        <f aca="false">G24</f>
        <v>128</v>
      </c>
      <c r="D68" s="178" t="n">
        <f aca="false">B68+C68</f>
        <v>128</v>
      </c>
      <c r="E68" s="185" t="n">
        <v>0</v>
      </c>
      <c r="F68" s="185"/>
      <c r="G68" s="186" t="n">
        <f aca="false">D68-E68</f>
        <v>128</v>
      </c>
      <c r="H68" s="186"/>
      <c r="I68" s="205"/>
    </row>
    <row r="69" customFormat="false" ht="15" hidden="false" customHeight="false" outlineLevel="0" collapsed="false">
      <c r="A69" s="204"/>
      <c r="B69" s="78"/>
      <c r="C69" s="78"/>
      <c r="D69" s="78"/>
      <c r="E69" s="42"/>
      <c r="F69" s="206"/>
      <c r="G69" s="207"/>
      <c r="H69" s="45"/>
      <c r="I69" s="205"/>
    </row>
    <row r="70" customFormat="false" ht="15" hidden="false" customHeight="false" outlineLevel="0" collapsed="false">
      <c r="A70" s="204"/>
      <c r="B70" s="208"/>
      <c r="C70" s="208"/>
      <c r="D70" s="208"/>
      <c r="E70" s="208"/>
      <c r="F70" s="208"/>
      <c r="G70" s="208"/>
      <c r="H70" s="208"/>
      <c r="I70" s="205"/>
    </row>
    <row r="71" customFormat="false" ht="15" hidden="false" customHeight="false" outlineLevel="0" collapsed="false">
      <c r="A71" s="204"/>
      <c r="B71" s="208"/>
      <c r="C71" s="209"/>
      <c r="D71" s="209"/>
      <c r="E71" s="126" t="s">
        <v>298</v>
      </c>
      <c r="F71" s="126"/>
      <c r="G71" s="210" t="n">
        <f aca="false">G52+G56+G60+G64+G68</f>
        <v>10459</v>
      </c>
      <c r="H71" s="210"/>
      <c r="I71" s="205"/>
    </row>
    <row r="72" customFormat="false" ht="15" hidden="false" customHeight="false" outlineLevel="0" collapsed="false">
      <c r="A72" s="204"/>
      <c r="B72" s="111"/>
      <c r="C72" s="78"/>
      <c r="D72" s="78"/>
      <c r="E72" s="197"/>
      <c r="F72" s="197"/>
      <c r="G72" s="206"/>
      <c r="H72" s="206"/>
      <c r="I72" s="203"/>
    </row>
    <row r="73" customFormat="false" ht="15" hidden="false" customHeight="false" outlineLevel="0" collapsed="false">
      <c r="A73" s="204"/>
      <c r="B73" s="111"/>
      <c r="C73" s="78"/>
      <c r="D73" s="78"/>
      <c r="E73" s="197"/>
      <c r="F73" s="197"/>
      <c r="G73" s="206"/>
      <c r="H73" s="206"/>
      <c r="I73" s="203"/>
    </row>
    <row r="74" customFormat="false" ht="15" hidden="false" customHeight="false" outlineLevel="0" collapsed="false">
      <c r="B74" s="54" t="s">
        <v>86</v>
      </c>
      <c r="C74" s="107"/>
      <c r="D74" s="36" t="s">
        <v>87</v>
      </c>
      <c r="E74" s="36"/>
      <c r="G74" s="36" t="s">
        <v>88</v>
      </c>
      <c r="H74" s="36"/>
      <c r="I74" s="36"/>
    </row>
    <row r="75" customFormat="false" ht="15" hidden="false" customHeight="false" outlineLevel="0" collapsed="false">
      <c r="B75" s="107"/>
      <c r="C75" s="107"/>
      <c r="D75" s="107"/>
      <c r="E75" s="107"/>
      <c r="F75" s="107"/>
      <c r="G75" s="107"/>
    </row>
    <row r="76" customFormat="false" ht="15" hidden="false" customHeight="false" outlineLevel="0" collapsed="false">
      <c r="A76" s="36" t="s">
        <v>17</v>
      </c>
      <c r="B76" s="36"/>
      <c r="C76" s="36"/>
      <c r="D76" s="194" t="s">
        <v>22</v>
      </c>
      <c r="E76" s="194"/>
      <c r="G76" s="208" t="s">
        <v>19</v>
      </c>
      <c r="H76" s="208"/>
      <c r="I76" s="208"/>
    </row>
    <row r="77" customFormat="false" ht="15" hidden="false" customHeight="false" outlineLevel="0" collapsed="false">
      <c r="B77" s="54" t="s">
        <v>89</v>
      </c>
      <c r="D77" s="36" t="s">
        <v>299</v>
      </c>
      <c r="E77" s="36"/>
      <c r="F77" s="107" t="s">
        <v>21</v>
      </c>
      <c r="G77" s="36" t="s">
        <v>91</v>
      </c>
      <c r="H77" s="36"/>
      <c r="I77" s="36"/>
    </row>
    <row r="78" customFormat="false" ht="15" hidden="false" customHeight="false" outlineLevel="0" collapsed="false">
      <c r="B78" s="54"/>
      <c r="C78" s="54"/>
      <c r="D78" s="54"/>
      <c r="E78" s="54"/>
      <c r="F78" s="107"/>
      <c r="G78" s="107"/>
    </row>
    <row r="79" customFormat="false" ht="15" hidden="false" customHeight="false" outlineLevel="0" collapsed="false">
      <c r="B79" s="54"/>
      <c r="C79" s="54"/>
      <c r="D79" s="54"/>
      <c r="E79" s="54"/>
      <c r="F79" s="107"/>
      <c r="G79" s="107"/>
    </row>
    <row r="80" customFormat="false" ht="15" hidden="false" customHeight="false" outlineLevel="0" collapsed="false">
      <c r="B80" s="54"/>
      <c r="C80" s="54"/>
      <c r="D80" s="54"/>
      <c r="E80" s="54"/>
      <c r="F80" s="107"/>
      <c r="G80" s="107"/>
    </row>
    <row r="81" customFormat="false" ht="15" hidden="false" customHeight="false" outlineLevel="0" collapsed="false">
      <c r="B81" s="54"/>
      <c r="C81" s="54"/>
      <c r="D81" s="54"/>
      <c r="E81" s="54"/>
      <c r="F81" s="107"/>
      <c r="G81" s="107"/>
    </row>
    <row r="82" customFormat="false" ht="15" hidden="false" customHeight="false" outlineLevel="0" collapsed="false">
      <c r="B82" s="54"/>
      <c r="C82" s="54"/>
      <c r="D82" s="54"/>
      <c r="E82" s="54"/>
      <c r="F82" s="107"/>
      <c r="G82" s="107"/>
    </row>
    <row r="83" customFormat="false" ht="15" hidden="false" customHeight="false" outlineLevel="0" collapsed="false">
      <c r="B83" s="54"/>
      <c r="C83" s="54"/>
      <c r="D83" s="54"/>
      <c r="E83" s="54"/>
      <c r="F83" s="107"/>
      <c r="G83" s="107"/>
    </row>
    <row r="84" customFormat="false" ht="15" hidden="false" customHeight="false" outlineLevel="0" collapsed="false">
      <c r="B84" s="54"/>
      <c r="C84" s="54"/>
      <c r="D84" s="54"/>
      <c r="E84" s="54"/>
      <c r="F84" s="107"/>
      <c r="G84" s="107"/>
    </row>
    <row r="85" customFormat="false" ht="15" hidden="false" customHeight="false" outlineLevel="0" collapsed="false">
      <c r="B85" s="54"/>
      <c r="C85" s="54"/>
      <c r="D85" s="54"/>
      <c r="E85" s="54"/>
      <c r="F85" s="107"/>
      <c r="G85" s="107"/>
    </row>
    <row r="86" customFormat="false" ht="15" hidden="false" customHeight="false" outlineLevel="0" collapsed="false">
      <c r="B86" s="54"/>
      <c r="C86" s="54"/>
      <c r="D86" s="54"/>
      <c r="E86" s="54"/>
      <c r="F86" s="107"/>
      <c r="G86" s="107"/>
    </row>
    <row r="87" customFormat="false" ht="15" hidden="false" customHeight="false" outlineLevel="0" collapsed="false">
      <c r="B87" s="54"/>
      <c r="C87" s="54"/>
      <c r="D87" s="54"/>
      <c r="E87" s="54"/>
      <c r="F87" s="107"/>
      <c r="G87" s="107"/>
    </row>
    <row r="90" customFormat="false" ht="15" hidden="false" customHeight="false" outlineLevel="0" collapsed="false">
      <c r="C90" s="164"/>
      <c r="D90" s="165"/>
      <c r="E90" s="165"/>
      <c r="F90" s="165"/>
      <c r="G90" s="165"/>
    </row>
    <row r="91" customFormat="false" ht="15" hidden="false" customHeight="false" outlineLevel="0" collapsed="false">
      <c r="C91" s="20" t="s">
        <v>284</v>
      </c>
      <c r="D91" s="1"/>
    </row>
    <row r="92" customFormat="false" ht="15" hidden="false" customHeight="false" outlineLevel="0" collapsed="false">
      <c r="B92" s="20" t="s">
        <v>285</v>
      </c>
      <c r="C92" s="166"/>
      <c r="D92" s="167" t="n">
        <v>17</v>
      </c>
      <c r="E92" s="154" t="s">
        <v>286</v>
      </c>
      <c r="F92" s="168" t="s">
        <v>301</v>
      </c>
      <c r="G92" s="169"/>
      <c r="I92" s="170"/>
    </row>
    <row r="93" customFormat="false" ht="15" hidden="false" customHeight="false" outlineLevel="0" collapsed="false">
      <c r="B93" s="20"/>
      <c r="C93" s="166"/>
      <c r="D93" s="1"/>
      <c r="F93" s="171"/>
      <c r="G93" s="171"/>
      <c r="I93" s="172"/>
    </row>
    <row r="94" customFormat="false" ht="19.7" hidden="false" customHeight="false" outlineLevel="0" collapsed="false">
      <c r="A94" s="39"/>
      <c r="B94" s="173"/>
      <c r="C94" s="174" t="s">
        <v>53</v>
      </c>
      <c r="D94" s="174"/>
      <c r="E94" s="174"/>
      <c r="F94" s="174"/>
      <c r="G94" s="175"/>
      <c r="H94" s="175"/>
      <c r="I94" s="37"/>
    </row>
    <row r="95" customFormat="false" ht="15" hidden="false" customHeight="false" outlineLevel="0" collapsed="false">
      <c r="A95" s="39"/>
      <c r="B95" s="126" t="s">
        <v>288</v>
      </c>
      <c r="C95" s="92" t="s">
        <v>289</v>
      </c>
      <c r="D95" s="92" t="s">
        <v>290</v>
      </c>
      <c r="E95" s="92" t="s">
        <v>291</v>
      </c>
      <c r="F95" s="92"/>
      <c r="G95" s="92" t="s">
        <v>292</v>
      </c>
      <c r="H95" s="92"/>
      <c r="I95" s="37"/>
    </row>
    <row r="96" customFormat="false" ht="15" hidden="false" customHeight="false" outlineLevel="0" collapsed="false">
      <c r="A96" s="39"/>
      <c r="B96" s="176" t="n">
        <f aca="false">'INGRESOS Y EGRESOS'!E165</f>
        <v>17344.5</v>
      </c>
      <c r="C96" s="177" t="n">
        <f aca="false">G52</f>
        <v>6507</v>
      </c>
      <c r="D96" s="178" t="n">
        <f aca="false">B96+C96</f>
        <v>23851.5</v>
      </c>
      <c r="E96" s="179" t="n">
        <f aca="false">'INGRESOS Y EGRESOS'!E176</f>
        <v>8071</v>
      </c>
      <c r="F96" s="179"/>
      <c r="G96" s="180" t="n">
        <f aca="false">D96-E96</f>
        <v>15780.5</v>
      </c>
      <c r="H96" s="180"/>
      <c r="I96" s="37"/>
    </row>
    <row r="97" customFormat="false" ht="15" hidden="false" customHeight="false" outlineLevel="0" collapsed="false">
      <c r="A97" s="39"/>
      <c r="B97" s="42"/>
      <c r="C97" s="39"/>
      <c r="D97" s="39"/>
      <c r="E97" s="39"/>
      <c r="F97" s="39"/>
      <c r="G97" s="181"/>
      <c r="H97" s="181"/>
      <c r="I97" s="37"/>
    </row>
    <row r="98" customFormat="false" ht="19.7" hidden="false" customHeight="false" outlineLevel="0" collapsed="false">
      <c r="A98" s="182"/>
      <c r="B98" s="37"/>
      <c r="C98" s="183" t="s">
        <v>293</v>
      </c>
      <c r="D98" s="183"/>
      <c r="E98" s="183"/>
      <c r="F98" s="183"/>
      <c r="G98" s="39"/>
      <c r="H98" s="37"/>
      <c r="I98" s="37"/>
    </row>
    <row r="99" customFormat="false" ht="15" hidden="false" customHeight="false" outlineLevel="0" collapsed="false">
      <c r="A99" s="37"/>
      <c r="B99" s="126" t="s">
        <v>294</v>
      </c>
      <c r="C99" s="92" t="s">
        <v>289</v>
      </c>
      <c r="D99" s="92" t="s">
        <v>290</v>
      </c>
      <c r="E99" s="92" t="s">
        <v>291</v>
      </c>
      <c r="F99" s="92"/>
      <c r="G99" s="92" t="s">
        <v>292</v>
      </c>
      <c r="H99" s="92"/>
      <c r="I99" s="37"/>
    </row>
    <row r="100" customFormat="false" ht="15" hidden="false" customHeight="false" outlineLevel="0" collapsed="false">
      <c r="A100" s="37"/>
      <c r="B100" s="184" t="n">
        <f aca="false">'INGRESOS Y EGRESOS'!F165</f>
        <v>7644</v>
      </c>
      <c r="C100" s="177" t="n">
        <f aca="false">G56</f>
        <v>2150</v>
      </c>
      <c r="D100" s="178" t="n">
        <f aca="false">B100+C100</f>
        <v>9794</v>
      </c>
      <c r="E100" s="185" t="n">
        <v>0</v>
      </c>
      <c r="F100" s="185"/>
      <c r="G100" s="186" t="n">
        <f aca="false">D100-E100</f>
        <v>9794</v>
      </c>
      <c r="H100" s="186"/>
      <c r="I100" s="37"/>
    </row>
    <row r="101" customFormat="false" ht="15" hidden="false" customHeight="false" outlineLevel="0" collapsed="false">
      <c r="A101" s="37"/>
      <c r="B101" s="187"/>
      <c r="C101" s="187"/>
      <c r="D101" s="187"/>
      <c r="E101" s="188"/>
      <c r="F101" s="188"/>
      <c r="G101" s="189"/>
      <c r="H101" s="189"/>
      <c r="I101" s="37"/>
    </row>
    <row r="102" customFormat="false" ht="19.7" hidden="false" customHeight="false" outlineLevel="0" collapsed="false">
      <c r="A102" s="37"/>
      <c r="B102" s="190"/>
      <c r="C102" s="191" t="s">
        <v>295</v>
      </c>
      <c r="D102" s="191"/>
      <c r="E102" s="191"/>
      <c r="F102" s="191"/>
      <c r="G102" s="192"/>
      <c r="H102" s="40"/>
      <c r="I102" s="193"/>
    </row>
    <row r="103" customFormat="false" ht="15" hidden="false" customHeight="false" outlineLevel="0" collapsed="false">
      <c r="A103" s="37"/>
      <c r="B103" s="106" t="s">
        <v>294</v>
      </c>
      <c r="C103" s="114" t="s">
        <v>289</v>
      </c>
      <c r="D103" s="114" t="s">
        <v>290</v>
      </c>
      <c r="E103" s="114" t="s">
        <v>291</v>
      </c>
      <c r="F103" s="114"/>
      <c r="G103" s="114" t="s">
        <v>292</v>
      </c>
      <c r="H103" s="114"/>
      <c r="I103" s="193"/>
    </row>
    <row r="104" customFormat="false" ht="15" hidden="false" customHeight="false" outlineLevel="0" collapsed="false">
      <c r="A104" s="194"/>
      <c r="B104" s="184" t="n">
        <f aca="false">'INGRESOS Y EGRESOS'!G165</f>
        <v>533</v>
      </c>
      <c r="C104" s="177" t="n">
        <f aca="false">G60</f>
        <v>1149</v>
      </c>
      <c r="D104" s="178" t="n">
        <f aca="false">B104+C104</f>
        <v>1682</v>
      </c>
      <c r="E104" s="185" t="n">
        <v>0</v>
      </c>
      <c r="F104" s="185"/>
      <c r="G104" s="186" t="n">
        <f aca="false">D104-E104</f>
        <v>1682</v>
      </c>
      <c r="H104" s="186"/>
      <c r="I104" s="195"/>
    </row>
    <row r="105" customFormat="false" ht="15" hidden="false" customHeight="false" outlineLevel="0" collapsed="false">
      <c r="A105" s="37"/>
      <c r="B105" s="196"/>
      <c r="C105" s="196"/>
      <c r="D105" s="196"/>
      <c r="E105" s="197"/>
      <c r="F105" s="197"/>
      <c r="G105" s="197"/>
      <c r="H105" s="197"/>
      <c r="I105" s="198"/>
    </row>
    <row r="106" customFormat="false" ht="19.7" hidden="false" customHeight="false" outlineLevel="0" collapsed="false">
      <c r="A106" s="37"/>
      <c r="B106" s="196"/>
      <c r="C106" s="191" t="s">
        <v>296</v>
      </c>
      <c r="D106" s="191"/>
      <c r="E106" s="191"/>
      <c r="F106" s="191"/>
      <c r="G106" s="197"/>
      <c r="H106" s="197"/>
      <c r="I106" s="198"/>
    </row>
    <row r="107" customFormat="false" ht="15" hidden="false" customHeight="false" outlineLevel="0" collapsed="false">
      <c r="A107" s="37"/>
      <c r="B107" s="106" t="s">
        <v>294</v>
      </c>
      <c r="C107" s="114" t="s">
        <v>289</v>
      </c>
      <c r="D107" s="114" t="s">
        <v>290</v>
      </c>
      <c r="E107" s="114" t="s">
        <v>291</v>
      </c>
      <c r="F107" s="114"/>
      <c r="G107" s="114" t="s">
        <v>292</v>
      </c>
      <c r="H107" s="114"/>
      <c r="I107" s="198"/>
    </row>
    <row r="108" customFormat="false" ht="15" hidden="false" customHeight="false" outlineLevel="0" collapsed="false">
      <c r="A108" s="37"/>
      <c r="B108" s="184" t="n">
        <f aca="false">'INGRESOS Y EGRESOS'!H165</f>
        <v>375</v>
      </c>
      <c r="C108" s="177" t="n">
        <f aca="false">G64</f>
        <v>525</v>
      </c>
      <c r="D108" s="178" t="n">
        <f aca="false">B108+C108</f>
        <v>900</v>
      </c>
      <c r="E108" s="185" t="n">
        <v>0</v>
      </c>
      <c r="F108" s="185"/>
      <c r="G108" s="186" t="n">
        <f aca="false">D108-E108</f>
        <v>900</v>
      </c>
      <c r="H108" s="186"/>
      <c r="I108" s="198"/>
    </row>
    <row r="109" customFormat="false" ht="15" hidden="false" customHeight="false" outlineLevel="0" collapsed="false">
      <c r="A109" s="37"/>
      <c r="B109" s="199"/>
      <c r="C109" s="199"/>
      <c r="D109" s="198"/>
      <c r="E109" s="200"/>
      <c r="F109" s="200"/>
      <c r="G109" s="201"/>
      <c r="H109" s="201"/>
      <c r="I109" s="198"/>
    </row>
    <row r="110" customFormat="false" ht="17.15" hidden="false" customHeight="false" outlineLevel="0" collapsed="false">
      <c r="A110" s="37"/>
      <c r="B110" s="40"/>
      <c r="C110" s="202" t="s">
        <v>297</v>
      </c>
      <c r="D110" s="202"/>
      <c r="E110" s="202"/>
      <c r="F110" s="202"/>
      <c r="G110" s="40"/>
      <c r="H110" s="40"/>
      <c r="I110" s="203"/>
    </row>
    <row r="111" customFormat="false" ht="15" hidden="false" customHeight="false" outlineLevel="0" collapsed="false">
      <c r="A111" s="204"/>
      <c r="B111" s="106" t="s">
        <v>294</v>
      </c>
      <c r="C111" s="114" t="s">
        <v>289</v>
      </c>
      <c r="D111" s="114" t="s">
        <v>290</v>
      </c>
      <c r="E111" s="114" t="s">
        <v>291</v>
      </c>
      <c r="F111" s="114"/>
      <c r="G111" s="114" t="s">
        <v>292</v>
      </c>
      <c r="H111" s="114"/>
      <c r="I111" s="205"/>
    </row>
    <row r="112" customFormat="false" ht="15" hidden="false" customHeight="false" outlineLevel="0" collapsed="false">
      <c r="A112" s="204"/>
      <c r="B112" s="184" t="n">
        <f aca="false">'INGRESOS Y EGRESOS'!I165</f>
        <v>256</v>
      </c>
      <c r="C112" s="177" t="n">
        <f aca="false">G68</f>
        <v>128</v>
      </c>
      <c r="D112" s="178" t="n">
        <f aca="false">B112+C112</f>
        <v>384</v>
      </c>
      <c r="E112" s="185" t="n">
        <v>0</v>
      </c>
      <c r="F112" s="185"/>
      <c r="G112" s="186" t="n">
        <f aca="false">D112-E112</f>
        <v>384</v>
      </c>
      <c r="H112" s="186"/>
      <c r="I112" s="205"/>
    </row>
    <row r="113" customFormat="false" ht="15" hidden="false" customHeight="false" outlineLevel="0" collapsed="false">
      <c r="A113" s="204"/>
      <c r="B113" s="78"/>
      <c r="C113" s="78"/>
      <c r="D113" s="78"/>
      <c r="E113" s="42"/>
      <c r="F113" s="206"/>
      <c r="G113" s="207"/>
      <c r="H113" s="45"/>
      <c r="I113" s="205"/>
    </row>
    <row r="114" customFormat="false" ht="15" hidden="false" customHeight="false" outlineLevel="0" collapsed="false">
      <c r="A114" s="204"/>
      <c r="B114" s="208"/>
      <c r="C114" s="208"/>
      <c r="D114" s="208"/>
      <c r="E114" s="208"/>
      <c r="F114" s="208"/>
      <c r="G114" s="208"/>
      <c r="H114" s="208"/>
      <c r="I114" s="205"/>
    </row>
    <row r="115" customFormat="false" ht="15" hidden="false" customHeight="false" outlineLevel="0" collapsed="false">
      <c r="A115" s="204"/>
      <c r="B115" s="208"/>
      <c r="C115" s="209"/>
      <c r="D115" s="209"/>
      <c r="E115" s="126" t="s">
        <v>298</v>
      </c>
      <c r="F115" s="126"/>
      <c r="G115" s="210" t="n">
        <f aca="false">G96+G100+G104+G108+G112</f>
        <v>28540.5</v>
      </c>
      <c r="H115" s="210"/>
      <c r="I115" s="205"/>
    </row>
    <row r="116" customFormat="false" ht="15" hidden="false" customHeight="false" outlineLevel="0" collapsed="false">
      <c r="A116" s="204"/>
      <c r="B116" s="111"/>
      <c r="C116" s="78"/>
      <c r="D116" s="78"/>
      <c r="E116" s="197"/>
      <c r="F116" s="197"/>
      <c r="G116" s="206"/>
      <c r="H116" s="206"/>
      <c r="I116" s="203"/>
    </row>
    <row r="117" customFormat="false" ht="15" hidden="false" customHeight="false" outlineLevel="0" collapsed="false">
      <c r="A117" s="204"/>
      <c r="B117" s="111"/>
      <c r="C117" s="78"/>
      <c r="D117" s="78"/>
      <c r="E117" s="197"/>
      <c r="F117" s="197"/>
      <c r="G117" s="206"/>
      <c r="H117" s="206"/>
      <c r="I117" s="203"/>
    </row>
    <row r="118" customFormat="false" ht="15" hidden="false" customHeight="false" outlineLevel="0" collapsed="false">
      <c r="B118" s="54" t="s">
        <v>86</v>
      </c>
      <c r="C118" s="107"/>
      <c r="D118" s="36" t="s">
        <v>87</v>
      </c>
      <c r="E118" s="36"/>
      <c r="G118" s="36" t="s">
        <v>88</v>
      </c>
      <c r="H118" s="36"/>
      <c r="I118" s="36"/>
    </row>
    <row r="119" customFormat="false" ht="15" hidden="false" customHeight="false" outlineLevel="0" collapsed="false">
      <c r="B119" s="107"/>
      <c r="C119" s="107"/>
      <c r="D119" s="107"/>
      <c r="E119" s="107"/>
      <c r="F119" s="107"/>
      <c r="G119" s="107"/>
    </row>
    <row r="120" customFormat="false" ht="15" hidden="false" customHeight="false" outlineLevel="0" collapsed="false">
      <c r="A120" s="36" t="s">
        <v>17</v>
      </c>
      <c r="B120" s="36"/>
      <c r="C120" s="36"/>
      <c r="D120" s="194" t="s">
        <v>22</v>
      </c>
      <c r="E120" s="194"/>
      <c r="G120" s="208" t="s">
        <v>19</v>
      </c>
      <c r="H120" s="208"/>
      <c r="I120" s="208"/>
    </row>
    <row r="121" customFormat="false" ht="15" hidden="false" customHeight="false" outlineLevel="0" collapsed="false">
      <c r="B121" s="54" t="s">
        <v>89</v>
      </c>
      <c r="D121" s="36" t="s">
        <v>299</v>
      </c>
      <c r="E121" s="36"/>
      <c r="F121" s="107" t="s">
        <v>21</v>
      </c>
      <c r="G121" s="36" t="s">
        <v>91</v>
      </c>
      <c r="H121" s="36"/>
      <c r="I121" s="36"/>
    </row>
    <row r="122" customFormat="false" ht="15" hidden="false" customHeight="false" outlineLevel="0" collapsed="false">
      <c r="B122" s="54"/>
      <c r="D122" s="54"/>
      <c r="E122" s="54"/>
      <c r="F122" s="107"/>
      <c r="G122" s="54"/>
      <c r="H122" s="54"/>
      <c r="I122" s="54"/>
    </row>
    <row r="123" customFormat="false" ht="15" hidden="false" customHeight="false" outlineLevel="0" collapsed="false">
      <c r="B123" s="54"/>
      <c r="D123" s="54"/>
      <c r="E123" s="54"/>
      <c r="F123" s="107"/>
      <c r="G123" s="54"/>
      <c r="H123" s="54"/>
      <c r="I123" s="54"/>
    </row>
    <row r="124" customFormat="false" ht="15" hidden="false" customHeight="false" outlineLevel="0" collapsed="false">
      <c r="B124" s="54"/>
      <c r="D124" s="54"/>
      <c r="E124" s="54"/>
      <c r="F124" s="107"/>
      <c r="G124" s="54"/>
      <c r="H124" s="54"/>
      <c r="I124" s="54"/>
    </row>
    <row r="125" customFormat="false" ht="15" hidden="false" customHeight="false" outlineLevel="0" collapsed="false">
      <c r="B125" s="54"/>
      <c r="D125" s="54"/>
      <c r="E125" s="54"/>
      <c r="F125" s="107"/>
      <c r="G125" s="54"/>
      <c r="H125" s="54"/>
      <c r="I125" s="54"/>
    </row>
    <row r="126" customFormat="false" ht="15" hidden="false" customHeight="false" outlineLevel="0" collapsed="false">
      <c r="B126" s="54"/>
      <c r="D126" s="54"/>
      <c r="E126" s="54"/>
      <c r="F126" s="107"/>
      <c r="G126" s="54"/>
      <c r="H126" s="54"/>
      <c r="I126" s="54"/>
    </row>
    <row r="127" customFormat="false" ht="15" hidden="false" customHeight="false" outlineLevel="0" collapsed="false">
      <c r="B127" s="54"/>
      <c r="D127" s="54"/>
      <c r="E127" s="54"/>
      <c r="F127" s="107"/>
      <c r="G127" s="54"/>
      <c r="H127" s="54"/>
      <c r="I127" s="54"/>
    </row>
    <row r="128" customFormat="false" ht="15" hidden="false" customHeight="false" outlineLevel="0" collapsed="false">
      <c r="B128" s="54"/>
      <c r="D128" s="54"/>
      <c r="E128" s="54"/>
      <c r="F128" s="107"/>
      <c r="G128" s="54"/>
      <c r="H128" s="54"/>
      <c r="I128" s="54"/>
    </row>
    <row r="129" customFormat="false" ht="15" hidden="false" customHeight="false" outlineLevel="0" collapsed="false">
      <c r="B129" s="54"/>
      <c r="D129" s="54"/>
      <c r="E129" s="54"/>
      <c r="F129" s="107"/>
      <c r="G129" s="54"/>
      <c r="H129" s="54"/>
      <c r="I129" s="54"/>
    </row>
    <row r="130" customFormat="false" ht="15" hidden="false" customHeight="false" outlineLevel="0" collapsed="false">
      <c r="B130" s="54"/>
      <c r="D130" s="54"/>
      <c r="E130" s="54"/>
      <c r="F130" s="107"/>
      <c r="G130" s="54"/>
      <c r="H130" s="54"/>
      <c r="I130" s="54"/>
    </row>
    <row r="131" customFormat="false" ht="15" hidden="false" customHeight="false" outlineLevel="0" collapsed="false">
      <c r="B131" s="54"/>
      <c r="D131" s="54"/>
      <c r="E131" s="54"/>
      <c r="F131" s="107"/>
      <c r="G131" s="54"/>
      <c r="H131" s="54"/>
      <c r="I131" s="54"/>
    </row>
    <row r="132" customFormat="false" ht="15" hidden="false" customHeight="false" outlineLevel="0" collapsed="false">
      <c r="B132" s="54"/>
      <c r="C132" s="54"/>
      <c r="D132" s="54"/>
      <c r="E132" s="54"/>
      <c r="F132" s="107"/>
      <c r="G132" s="107"/>
    </row>
    <row r="134" customFormat="false" ht="15" hidden="false" customHeight="false" outlineLevel="0" collapsed="false">
      <c r="C134" s="164"/>
      <c r="D134" s="165"/>
      <c r="E134" s="165"/>
      <c r="F134" s="165"/>
      <c r="G134" s="165"/>
    </row>
    <row r="135" customFormat="false" ht="15" hidden="false" customHeight="false" outlineLevel="0" collapsed="false">
      <c r="C135" s="20" t="s">
        <v>284</v>
      </c>
      <c r="D135" s="1"/>
    </row>
    <row r="136" customFormat="false" ht="15" hidden="false" customHeight="false" outlineLevel="0" collapsed="false">
      <c r="B136" s="20" t="s">
        <v>285</v>
      </c>
      <c r="C136" s="166"/>
      <c r="D136" s="167" t="n">
        <v>16</v>
      </c>
      <c r="E136" s="154" t="s">
        <v>286</v>
      </c>
      <c r="F136" s="168" t="s">
        <v>302</v>
      </c>
      <c r="G136" s="169"/>
      <c r="I136" s="170"/>
    </row>
    <row r="137" customFormat="false" ht="15" hidden="false" customHeight="false" outlineLevel="0" collapsed="false">
      <c r="B137" s="20"/>
      <c r="C137" s="166"/>
      <c r="D137" s="1"/>
      <c r="F137" s="171"/>
      <c r="G137" s="171"/>
      <c r="I137" s="172"/>
    </row>
    <row r="138" customFormat="false" ht="19.7" hidden="false" customHeight="false" outlineLevel="0" collapsed="false">
      <c r="A138" s="39"/>
      <c r="B138" s="173"/>
      <c r="C138" s="174" t="s">
        <v>53</v>
      </c>
      <c r="D138" s="174"/>
      <c r="E138" s="174"/>
      <c r="F138" s="174"/>
      <c r="G138" s="175"/>
      <c r="H138" s="175"/>
      <c r="I138" s="37"/>
    </row>
    <row r="139" customFormat="false" ht="15" hidden="false" customHeight="false" outlineLevel="0" collapsed="false">
      <c r="A139" s="39"/>
      <c r="B139" s="126" t="s">
        <v>288</v>
      </c>
      <c r="C139" s="92" t="s">
        <v>289</v>
      </c>
      <c r="D139" s="92" t="s">
        <v>290</v>
      </c>
      <c r="E139" s="92" t="s">
        <v>291</v>
      </c>
      <c r="F139" s="92"/>
      <c r="G139" s="92" t="s">
        <v>292</v>
      </c>
      <c r="H139" s="92"/>
      <c r="I139" s="37"/>
    </row>
    <row r="140" customFormat="false" ht="15" hidden="false" customHeight="false" outlineLevel="0" collapsed="false">
      <c r="A140" s="39"/>
      <c r="B140" s="176" t="n">
        <f aca="false">'INGRESOS Y EGRESOS'!E217</f>
        <v>4275</v>
      </c>
      <c r="C140" s="177" t="n">
        <f aca="false">G96</f>
        <v>15780.5</v>
      </c>
      <c r="D140" s="178" t="n">
        <f aca="false">B140+C140</f>
        <v>20055.5</v>
      </c>
      <c r="E140" s="179" t="n">
        <f aca="false">'INGRESOS Y EGRESOS'!E228</f>
        <v>5014</v>
      </c>
      <c r="F140" s="179"/>
      <c r="G140" s="180" t="n">
        <f aca="false">D140-E140</f>
        <v>15041.5</v>
      </c>
      <c r="H140" s="180"/>
      <c r="I140" s="37"/>
    </row>
    <row r="141" customFormat="false" ht="15" hidden="false" customHeight="false" outlineLevel="0" collapsed="false">
      <c r="A141" s="39"/>
      <c r="B141" s="42"/>
      <c r="C141" s="39"/>
      <c r="D141" s="39"/>
      <c r="E141" s="39"/>
      <c r="F141" s="39"/>
      <c r="G141" s="181"/>
      <c r="H141" s="181"/>
      <c r="I141" s="37"/>
    </row>
    <row r="142" customFormat="false" ht="19.7" hidden="false" customHeight="false" outlineLevel="0" collapsed="false">
      <c r="A142" s="182"/>
      <c r="B142" s="37"/>
      <c r="C142" s="183" t="s">
        <v>293</v>
      </c>
      <c r="D142" s="183"/>
      <c r="E142" s="183"/>
      <c r="F142" s="183"/>
      <c r="G142" s="39"/>
      <c r="H142" s="37"/>
      <c r="I142" s="37"/>
    </row>
    <row r="143" customFormat="false" ht="15" hidden="false" customHeight="false" outlineLevel="0" collapsed="false">
      <c r="A143" s="37"/>
      <c r="B143" s="126" t="s">
        <v>294</v>
      </c>
      <c r="C143" s="92" t="s">
        <v>289</v>
      </c>
      <c r="D143" s="92" t="s">
        <v>290</v>
      </c>
      <c r="E143" s="92" t="s">
        <v>291</v>
      </c>
      <c r="F143" s="92"/>
      <c r="G143" s="92" t="s">
        <v>292</v>
      </c>
      <c r="H143" s="92"/>
      <c r="I143" s="37"/>
    </row>
    <row r="144" customFormat="false" ht="15" hidden="false" customHeight="false" outlineLevel="0" collapsed="false">
      <c r="A144" s="37"/>
      <c r="B144" s="184" t="n">
        <f aca="false">'INGRESOS Y EGRESOS'!F217</f>
        <v>750</v>
      </c>
      <c r="C144" s="177" t="n">
        <f aca="false">G100</f>
        <v>9794</v>
      </c>
      <c r="D144" s="178" t="n">
        <f aca="false">B144+C144</f>
        <v>10544</v>
      </c>
      <c r="E144" s="185" t="n">
        <v>0</v>
      </c>
      <c r="F144" s="185"/>
      <c r="G144" s="186" t="n">
        <f aca="false">D144-E144</f>
        <v>10544</v>
      </c>
      <c r="H144" s="186"/>
      <c r="I144" s="37"/>
    </row>
    <row r="145" customFormat="false" ht="15" hidden="false" customHeight="false" outlineLevel="0" collapsed="false">
      <c r="A145" s="37"/>
      <c r="B145" s="187"/>
      <c r="C145" s="187"/>
      <c r="D145" s="187"/>
      <c r="E145" s="188"/>
      <c r="F145" s="188"/>
      <c r="G145" s="189"/>
      <c r="H145" s="189"/>
      <c r="I145" s="37"/>
    </row>
    <row r="146" customFormat="false" ht="19.7" hidden="false" customHeight="false" outlineLevel="0" collapsed="false">
      <c r="A146" s="37"/>
      <c r="B146" s="190"/>
      <c r="C146" s="191" t="s">
        <v>295</v>
      </c>
      <c r="D146" s="191"/>
      <c r="E146" s="191"/>
      <c r="F146" s="191"/>
      <c r="G146" s="192"/>
      <c r="H146" s="40"/>
      <c r="I146" s="193"/>
    </row>
    <row r="147" customFormat="false" ht="15" hidden="false" customHeight="false" outlineLevel="0" collapsed="false">
      <c r="A147" s="37"/>
      <c r="B147" s="106" t="s">
        <v>294</v>
      </c>
      <c r="C147" s="114" t="s">
        <v>289</v>
      </c>
      <c r="D147" s="114" t="s">
        <v>290</v>
      </c>
      <c r="E147" s="114" t="s">
        <v>291</v>
      </c>
      <c r="F147" s="114"/>
      <c r="G147" s="114" t="s">
        <v>292</v>
      </c>
      <c r="H147" s="114"/>
      <c r="I147" s="193"/>
    </row>
    <row r="148" customFormat="false" ht="15" hidden="false" customHeight="false" outlineLevel="0" collapsed="false">
      <c r="A148" s="194"/>
      <c r="B148" s="184" t="n">
        <f aca="false">'INGRESOS Y EGRESOS'!G217</f>
        <v>1100</v>
      </c>
      <c r="C148" s="177" t="n">
        <f aca="false">G104</f>
        <v>1682</v>
      </c>
      <c r="D148" s="178" t="n">
        <f aca="false">B148+C148</f>
        <v>2782</v>
      </c>
      <c r="E148" s="185" t="n">
        <f aca="false">'INGRESOS Y EGRESOS'!G228</f>
        <v>2000</v>
      </c>
      <c r="F148" s="185"/>
      <c r="G148" s="186" t="n">
        <f aca="false">D148-E148</f>
        <v>782</v>
      </c>
      <c r="H148" s="186"/>
      <c r="I148" s="195"/>
    </row>
    <row r="149" customFormat="false" ht="15" hidden="false" customHeight="false" outlineLevel="0" collapsed="false">
      <c r="A149" s="37"/>
      <c r="B149" s="196"/>
      <c r="C149" s="196"/>
      <c r="D149" s="196"/>
      <c r="E149" s="197"/>
      <c r="F149" s="197"/>
      <c r="G149" s="197"/>
      <c r="H149" s="197"/>
      <c r="I149" s="198"/>
    </row>
    <row r="150" customFormat="false" ht="19.7" hidden="false" customHeight="false" outlineLevel="0" collapsed="false">
      <c r="A150" s="37"/>
      <c r="B150" s="196"/>
      <c r="C150" s="191" t="s">
        <v>296</v>
      </c>
      <c r="D150" s="191"/>
      <c r="E150" s="191"/>
      <c r="F150" s="191"/>
      <c r="G150" s="197"/>
      <c r="H150" s="197"/>
      <c r="I150" s="198"/>
    </row>
    <row r="151" customFormat="false" ht="15" hidden="false" customHeight="false" outlineLevel="0" collapsed="false">
      <c r="A151" s="37"/>
      <c r="B151" s="106" t="s">
        <v>294</v>
      </c>
      <c r="C151" s="114" t="s">
        <v>289</v>
      </c>
      <c r="D151" s="114" t="s">
        <v>290</v>
      </c>
      <c r="E151" s="114" t="s">
        <v>291</v>
      </c>
      <c r="F151" s="114"/>
      <c r="G151" s="114" t="s">
        <v>292</v>
      </c>
      <c r="H151" s="114"/>
      <c r="I151" s="198"/>
    </row>
    <row r="152" customFormat="false" ht="15" hidden="false" customHeight="false" outlineLevel="0" collapsed="false">
      <c r="A152" s="37"/>
      <c r="B152" s="184" t="n">
        <f aca="false">'INGRESOS Y EGRESOS'!H217</f>
        <v>225</v>
      </c>
      <c r="C152" s="177" t="n">
        <f aca="false">G108</f>
        <v>900</v>
      </c>
      <c r="D152" s="178" t="n">
        <f aca="false">B152+C152</f>
        <v>1125</v>
      </c>
      <c r="E152" s="185" t="n">
        <f aca="false">'INGRESOS Y EGRESOS'!H228</f>
        <v>519</v>
      </c>
      <c r="F152" s="185"/>
      <c r="G152" s="186" t="n">
        <f aca="false">D152-E152</f>
        <v>606</v>
      </c>
      <c r="H152" s="186"/>
      <c r="I152" s="198"/>
    </row>
    <row r="153" customFormat="false" ht="15" hidden="false" customHeight="false" outlineLevel="0" collapsed="false">
      <c r="A153" s="37"/>
      <c r="B153" s="199"/>
      <c r="C153" s="199"/>
      <c r="D153" s="198"/>
      <c r="E153" s="200"/>
      <c r="F153" s="200"/>
      <c r="G153" s="201"/>
      <c r="H153" s="201"/>
      <c r="I153" s="198"/>
    </row>
    <row r="154" customFormat="false" ht="17.15" hidden="false" customHeight="false" outlineLevel="0" collapsed="false">
      <c r="A154" s="37"/>
      <c r="B154" s="40"/>
      <c r="C154" s="202" t="s">
        <v>297</v>
      </c>
      <c r="D154" s="202"/>
      <c r="E154" s="202"/>
      <c r="F154" s="202"/>
      <c r="G154" s="40"/>
      <c r="H154" s="40"/>
      <c r="I154" s="203"/>
    </row>
    <row r="155" customFormat="false" ht="15" hidden="false" customHeight="false" outlineLevel="0" collapsed="false">
      <c r="A155" s="204"/>
      <c r="B155" s="106" t="s">
        <v>294</v>
      </c>
      <c r="C155" s="114" t="s">
        <v>289</v>
      </c>
      <c r="D155" s="114" t="s">
        <v>290</v>
      </c>
      <c r="E155" s="114" t="s">
        <v>291</v>
      </c>
      <c r="F155" s="114"/>
      <c r="G155" s="114" t="s">
        <v>292</v>
      </c>
      <c r="H155" s="114"/>
      <c r="I155" s="205"/>
    </row>
    <row r="156" customFormat="false" ht="15" hidden="false" customHeight="false" outlineLevel="0" collapsed="false">
      <c r="A156" s="204"/>
      <c r="B156" s="184" t="n">
        <f aca="false">'INGRESOS Y EGRESOS'!I217</f>
        <v>50</v>
      </c>
      <c r="C156" s="177" t="n">
        <f aca="false">G112</f>
        <v>384</v>
      </c>
      <c r="D156" s="178" t="n">
        <f aca="false">B156+C156</f>
        <v>434</v>
      </c>
      <c r="E156" s="185" t="n">
        <v>0</v>
      </c>
      <c r="F156" s="185"/>
      <c r="G156" s="186" t="n">
        <f aca="false">D156-E156</f>
        <v>434</v>
      </c>
      <c r="H156" s="186"/>
      <c r="I156" s="205"/>
    </row>
    <row r="157" customFormat="false" ht="15" hidden="false" customHeight="false" outlineLevel="0" collapsed="false">
      <c r="A157" s="204"/>
      <c r="B157" s="78"/>
      <c r="C157" s="78"/>
      <c r="D157" s="78"/>
      <c r="E157" s="42"/>
      <c r="F157" s="206"/>
      <c r="G157" s="207"/>
      <c r="H157" s="45"/>
      <c r="I157" s="205"/>
    </row>
    <row r="158" customFormat="false" ht="15" hidden="false" customHeight="false" outlineLevel="0" collapsed="false">
      <c r="A158" s="204"/>
      <c r="B158" s="208"/>
      <c r="C158" s="208"/>
      <c r="D158" s="208"/>
      <c r="E158" s="208"/>
      <c r="F158" s="208"/>
      <c r="G158" s="208"/>
      <c r="H158" s="208"/>
      <c r="I158" s="205"/>
    </row>
    <row r="159" customFormat="false" ht="15" hidden="false" customHeight="false" outlineLevel="0" collapsed="false">
      <c r="A159" s="204"/>
      <c r="B159" s="208"/>
      <c r="C159" s="209"/>
      <c r="D159" s="209"/>
      <c r="E159" s="126" t="s">
        <v>298</v>
      </c>
      <c r="F159" s="126"/>
      <c r="G159" s="210" t="n">
        <f aca="false">G140+G144+G148+G152+G156</f>
        <v>27407.5</v>
      </c>
      <c r="H159" s="210"/>
      <c r="I159" s="205"/>
    </row>
    <row r="160" customFormat="false" ht="15" hidden="false" customHeight="false" outlineLevel="0" collapsed="false">
      <c r="A160" s="204"/>
      <c r="B160" s="111"/>
      <c r="C160" s="78"/>
      <c r="D160" s="78"/>
      <c r="E160" s="197"/>
      <c r="F160" s="197"/>
      <c r="G160" s="206"/>
      <c r="H160" s="206"/>
      <c r="I160" s="203"/>
    </row>
    <row r="161" customFormat="false" ht="15" hidden="false" customHeight="false" outlineLevel="0" collapsed="false">
      <c r="A161" s="204"/>
      <c r="B161" s="111"/>
      <c r="C161" s="78"/>
      <c r="D161" s="78"/>
      <c r="E161" s="197"/>
      <c r="F161" s="197"/>
      <c r="G161" s="206"/>
      <c r="H161" s="206"/>
      <c r="I161" s="203"/>
    </row>
    <row r="162" customFormat="false" ht="15" hidden="false" customHeight="false" outlineLevel="0" collapsed="false">
      <c r="B162" s="54" t="s">
        <v>86</v>
      </c>
      <c r="C162" s="107"/>
      <c r="D162" s="36" t="s">
        <v>87</v>
      </c>
      <c r="E162" s="36"/>
      <c r="G162" s="36" t="s">
        <v>88</v>
      </c>
      <c r="H162" s="36"/>
      <c r="I162" s="36"/>
    </row>
    <row r="163" customFormat="false" ht="15" hidden="false" customHeight="false" outlineLevel="0" collapsed="false">
      <c r="B163" s="107"/>
      <c r="C163" s="107"/>
      <c r="D163" s="107"/>
      <c r="E163" s="107"/>
      <c r="F163" s="107"/>
      <c r="G163" s="107"/>
    </row>
    <row r="164" customFormat="false" ht="15" hidden="false" customHeight="false" outlineLevel="0" collapsed="false">
      <c r="A164" s="36" t="s">
        <v>17</v>
      </c>
      <c r="B164" s="36"/>
      <c r="C164" s="36"/>
      <c r="D164" s="194" t="s">
        <v>22</v>
      </c>
      <c r="E164" s="194"/>
      <c r="G164" s="208" t="s">
        <v>19</v>
      </c>
      <c r="H164" s="208"/>
      <c r="I164" s="208"/>
    </row>
    <row r="165" customFormat="false" ht="15" hidden="false" customHeight="false" outlineLevel="0" collapsed="false">
      <c r="B165" s="54" t="s">
        <v>89</v>
      </c>
      <c r="D165" s="36" t="s">
        <v>299</v>
      </c>
      <c r="E165" s="36"/>
      <c r="F165" s="107" t="s">
        <v>21</v>
      </c>
      <c r="G165" s="36" t="s">
        <v>91</v>
      </c>
      <c r="H165" s="36"/>
      <c r="I165" s="36"/>
    </row>
    <row r="178" customFormat="false" ht="15" hidden="false" customHeight="false" outlineLevel="0" collapsed="false">
      <c r="C178" s="164"/>
      <c r="D178" s="165"/>
      <c r="E178" s="165"/>
      <c r="F178" s="165"/>
      <c r="G178" s="165"/>
    </row>
    <row r="179" customFormat="false" ht="15" hidden="false" customHeight="false" outlineLevel="0" collapsed="false">
      <c r="C179" s="20" t="s">
        <v>284</v>
      </c>
      <c r="D179" s="1"/>
    </row>
    <row r="180" customFormat="false" ht="15" hidden="false" customHeight="false" outlineLevel="0" collapsed="false">
      <c r="B180" s="20" t="s">
        <v>285</v>
      </c>
      <c r="C180" s="166"/>
      <c r="D180" s="167" t="n">
        <v>15</v>
      </c>
      <c r="E180" s="154" t="s">
        <v>286</v>
      </c>
      <c r="F180" s="168" t="s">
        <v>303</v>
      </c>
      <c r="G180" s="169"/>
      <c r="I180" s="170"/>
    </row>
    <row r="181" customFormat="false" ht="15" hidden="false" customHeight="false" outlineLevel="0" collapsed="false">
      <c r="B181" s="20"/>
      <c r="C181" s="166"/>
      <c r="D181" s="1"/>
      <c r="F181" s="171"/>
      <c r="G181" s="171"/>
      <c r="I181" s="172"/>
    </row>
    <row r="182" customFormat="false" ht="19.7" hidden="false" customHeight="false" outlineLevel="0" collapsed="false">
      <c r="A182" s="39"/>
      <c r="B182" s="173"/>
      <c r="C182" s="174" t="s">
        <v>53</v>
      </c>
      <c r="D182" s="174"/>
      <c r="E182" s="174"/>
      <c r="F182" s="174"/>
      <c r="G182" s="175"/>
      <c r="H182" s="175"/>
      <c r="I182" s="37"/>
    </row>
    <row r="183" customFormat="false" ht="15" hidden="false" customHeight="false" outlineLevel="0" collapsed="false">
      <c r="A183" s="39"/>
      <c r="B183" s="126" t="s">
        <v>288</v>
      </c>
      <c r="C183" s="92" t="s">
        <v>289</v>
      </c>
      <c r="D183" s="92" t="s">
        <v>290</v>
      </c>
      <c r="E183" s="92" t="s">
        <v>291</v>
      </c>
      <c r="F183" s="92"/>
      <c r="G183" s="92" t="s">
        <v>292</v>
      </c>
      <c r="H183" s="92"/>
      <c r="I183" s="37"/>
    </row>
    <row r="184" customFormat="false" ht="15" hidden="false" customHeight="false" outlineLevel="0" collapsed="false">
      <c r="A184" s="39"/>
      <c r="B184" s="176" t="n">
        <f aca="false">'INGRESOS Y EGRESOS'!E255</f>
        <v>1995</v>
      </c>
      <c r="C184" s="177" t="n">
        <f aca="false">G140</f>
        <v>15041.5</v>
      </c>
      <c r="D184" s="178" t="n">
        <f aca="false">B184+C184</f>
        <v>17036.5</v>
      </c>
      <c r="E184" s="179" t="n">
        <f aca="false">'INGRESOS Y EGRESOS'!E266</f>
        <v>3240</v>
      </c>
      <c r="F184" s="179"/>
      <c r="G184" s="180" t="n">
        <f aca="false">D184-E184</f>
        <v>13796.5</v>
      </c>
      <c r="H184" s="180"/>
      <c r="I184" s="37"/>
    </row>
    <row r="185" customFormat="false" ht="15" hidden="false" customHeight="false" outlineLevel="0" collapsed="false">
      <c r="A185" s="39"/>
      <c r="B185" s="42"/>
      <c r="C185" s="39"/>
      <c r="D185" s="39"/>
      <c r="E185" s="39"/>
      <c r="F185" s="39"/>
      <c r="G185" s="181"/>
      <c r="H185" s="181"/>
      <c r="I185" s="37"/>
    </row>
    <row r="186" customFormat="false" ht="19.7" hidden="false" customHeight="false" outlineLevel="0" collapsed="false">
      <c r="A186" s="182"/>
      <c r="B186" s="37"/>
      <c r="C186" s="183" t="s">
        <v>293</v>
      </c>
      <c r="D186" s="183"/>
      <c r="E186" s="183"/>
      <c r="F186" s="183"/>
      <c r="G186" s="39"/>
      <c r="H186" s="37"/>
      <c r="I186" s="37"/>
    </row>
    <row r="187" customFormat="false" ht="15" hidden="false" customHeight="false" outlineLevel="0" collapsed="false">
      <c r="A187" s="37"/>
      <c r="B187" s="126" t="s">
        <v>294</v>
      </c>
      <c r="C187" s="92" t="s">
        <v>289</v>
      </c>
      <c r="D187" s="92" t="s">
        <v>290</v>
      </c>
      <c r="E187" s="92" t="s">
        <v>291</v>
      </c>
      <c r="F187" s="92"/>
      <c r="G187" s="92" t="s">
        <v>292</v>
      </c>
      <c r="H187" s="92"/>
      <c r="I187" s="37"/>
    </row>
    <row r="188" customFormat="false" ht="15" hidden="false" customHeight="false" outlineLevel="0" collapsed="false">
      <c r="A188" s="37"/>
      <c r="B188" s="184" t="n">
        <f aca="false">'INGRESOS Y EGRESOS'!F255</f>
        <v>350</v>
      </c>
      <c r="C188" s="177" t="n">
        <f aca="false">G144</f>
        <v>10544</v>
      </c>
      <c r="D188" s="178" t="n">
        <f aca="false">B188+C188</f>
        <v>10894</v>
      </c>
      <c r="E188" s="185" t="n">
        <v>0</v>
      </c>
      <c r="F188" s="185"/>
      <c r="G188" s="186" t="n">
        <f aca="false">D188-E188</f>
        <v>10894</v>
      </c>
      <c r="H188" s="186"/>
      <c r="I188" s="37"/>
    </row>
    <row r="189" customFormat="false" ht="15" hidden="false" customHeight="false" outlineLevel="0" collapsed="false">
      <c r="A189" s="37"/>
      <c r="B189" s="187"/>
      <c r="C189" s="187"/>
      <c r="D189" s="187"/>
      <c r="E189" s="188"/>
      <c r="F189" s="188"/>
      <c r="G189" s="189"/>
      <c r="H189" s="189"/>
      <c r="I189" s="37"/>
    </row>
    <row r="190" customFormat="false" ht="19.7" hidden="false" customHeight="false" outlineLevel="0" collapsed="false">
      <c r="A190" s="37"/>
      <c r="B190" s="190"/>
      <c r="C190" s="191" t="s">
        <v>295</v>
      </c>
      <c r="D190" s="191"/>
      <c r="E190" s="191"/>
      <c r="F190" s="191"/>
      <c r="G190" s="192"/>
      <c r="H190" s="40"/>
      <c r="I190" s="193"/>
    </row>
    <row r="191" customFormat="false" ht="15" hidden="false" customHeight="false" outlineLevel="0" collapsed="false">
      <c r="A191" s="37"/>
      <c r="B191" s="106" t="s">
        <v>294</v>
      </c>
      <c r="C191" s="114" t="s">
        <v>289</v>
      </c>
      <c r="D191" s="114" t="s">
        <v>290</v>
      </c>
      <c r="E191" s="114" t="s">
        <v>291</v>
      </c>
      <c r="F191" s="114"/>
      <c r="G191" s="114" t="s">
        <v>292</v>
      </c>
      <c r="H191" s="114"/>
      <c r="I191" s="193"/>
    </row>
    <row r="192" customFormat="false" ht="15" hidden="false" customHeight="false" outlineLevel="0" collapsed="false">
      <c r="A192" s="194"/>
      <c r="B192" s="184" t="n">
        <f aca="false">'INGRESOS Y EGRESOS'!G255</f>
        <v>345</v>
      </c>
      <c r="C192" s="177" t="n">
        <f aca="false">G148</f>
        <v>782</v>
      </c>
      <c r="D192" s="178" t="n">
        <f aca="false">B192+C192</f>
        <v>1127</v>
      </c>
      <c r="E192" s="185" t="n">
        <f aca="false">'INGRESOS Y EGRESOS'!G264</f>
        <v>0</v>
      </c>
      <c r="F192" s="185"/>
      <c r="G192" s="186" t="n">
        <f aca="false">D192-E192</f>
        <v>1127</v>
      </c>
      <c r="H192" s="186"/>
      <c r="I192" s="195"/>
    </row>
    <row r="193" customFormat="false" ht="15" hidden="false" customHeight="false" outlineLevel="0" collapsed="false">
      <c r="A193" s="37"/>
      <c r="B193" s="196"/>
      <c r="C193" s="196"/>
      <c r="D193" s="196"/>
      <c r="E193" s="197"/>
      <c r="F193" s="197"/>
      <c r="G193" s="197"/>
      <c r="H193" s="197"/>
      <c r="I193" s="198"/>
    </row>
    <row r="194" customFormat="false" ht="19.7" hidden="false" customHeight="false" outlineLevel="0" collapsed="false">
      <c r="A194" s="37"/>
      <c r="B194" s="196"/>
      <c r="C194" s="191" t="s">
        <v>296</v>
      </c>
      <c r="D194" s="191"/>
      <c r="E194" s="191"/>
      <c r="F194" s="191"/>
      <c r="G194" s="197"/>
      <c r="H194" s="197"/>
      <c r="I194" s="198"/>
    </row>
    <row r="195" customFormat="false" ht="15" hidden="false" customHeight="false" outlineLevel="0" collapsed="false">
      <c r="A195" s="37"/>
      <c r="B195" s="106" t="s">
        <v>294</v>
      </c>
      <c r="C195" s="114" t="s">
        <v>289</v>
      </c>
      <c r="D195" s="114" t="s">
        <v>290</v>
      </c>
      <c r="E195" s="114" t="s">
        <v>291</v>
      </c>
      <c r="F195" s="114"/>
      <c r="G195" s="114" t="s">
        <v>292</v>
      </c>
      <c r="H195" s="114"/>
      <c r="I195" s="198"/>
    </row>
    <row r="196" customFormat="false" ht="15" hidden="false" customHeight="false" outlineLevel="0" collapsed="false">
      <c r="A196" s="37"/>
      <c r="B196" s="184" t="n">
        <f aca="false">'INGRESOS Y EGRESOS'!H255</f>
        <v>105</v>
      </c>
      <c r="C196" s="177" t="n">
        <f aca="false">G152</f>
        <v>606</v>
      </c>
      <c r="D196" s="178" t="n">
        <f aca="false">B196+C196</f>
        <v>711</v>
      </c>
      <c r="E196" s="185" t="n">
        <f aca="false">'INGRESOS Y EGRESOS'!H264</f>
        <v>0</v>
      </c>
      <c r="F196" s="185"/>
      <c r="G196" s="186" t="n">
        <f aca="false">D196-E196</f>
        <v>711</v>
      </c>
      <c r="H196" s="186"/>
      <c r="I196" s="198"/>
    </row>
    <row r="197" customFormat="false" ht="15" hidden="false" customHeight="false" outlineLevel="0" collapsed="false">
      <c r="A197" s="37"/>
      <c r="B197" s="199"/>
      <c r="C197" s="199"/>
      <c r="D197" s="198"/>
      <c r="E197" s="200"/>
      <c r="F197" s="200"/>
      <c r="G197" s="201"/>
      <c r="H197" s="201"/>
      <c r="I197" s="198"/>
    </row>
    <row r="198" customFormat="false" ht="17.15" hidden="false" customHeight="false" outlineLevel="0" collapsed="false">
      <c r="A198" s="37"/>
      <c r="B198" s="40"/>
      <c r="C198" s="202" t="s">
        <v>297</v>
      </c>
      <c r="D198" s="202"/>
      <c r="E198" s="202"/>
      <c r="F198" s="202"/>
      <c r="G198" s="40"/>
      <c r="H198" s="40"/>
      <c r="I198" s="203"/>
    </row>
    <row r="199" customFormat="false" ht="15" hidden="false" customHeight="false" outlineLevel="0" collapsed="false">
      <c r="A199" s="204"/>
      <c r="B199" s="106" t="s">
        <v>294</v>
      </c>
      <c r="C199" s="114" t="s">
        <v>289</v>
      </c>
      <c r="D199" s="114" t="s">
        <v>290</v>
      </c>
      <c r="E199" s="114" t="s">
        <v>291</v>
      </c>
      <c r="F199" s="114"/>
      <c r="G199" s="114" t="s">
        <v>292</v>
      </c>
      <c r="H199" s="114"/>
      <c r="I199" s="205"/>
    </row>
    <row r="200" customFormat="false" ht="15" hidden="false" customHeight="false" outlineLevel="0" collapsed="false">
      <c r="A200" s="204"/>
      <c r="B200" s="184" t="n">
        <f aca="false">'INGRESOS Y EGRESOS'!I255</f>
        <v>0</v>
      </c>
      <c r="C200" s="177" t="n">
        <f aca="false">G156</f>
        <v>434</v>
      </c>
      <c r="D200" s="178" t="n">
        <f aca="false">B200+C200</f>
        <v>434</v>
      </c>
      <c r="E200" s="185" t="n">
        <v>0</v>
      </c>
      <c r="F200" s="185"/>
      <c r="G200" s="186" t="n">
        <f aca="false">D200-E200</f>
        <v>434</v>
      </c>
      <c r="H200" s="186"/>
      <c r="I200" s="205"/>
    </row>
    <row r="201" customFormat="false" ht="15" hidden="false" customHeight="false" outlineLevel="0" collapsed="false">
      <c r="A201" s="204"/>
      <c r="B201" s="78"/>
      <c r="C201" s="78"/>
      <c r="D201" s="78"/>
      <c r="E201" s="42"/>
      <c r="F201" s="206"/>
      <c r="G201" s="207"/>
      <c r="H201" s="45"/>
      <c r="I201" s="205"/>
    </row>
    <row r="202" customFormat="false" ht="15" hidden="false" customHeight="false" outlineLevel="0" collapsed="false">
      <c r="A202" s="204"/>
      <c r="B202" s="208"/>
      <c r="C202" s="208"/>
      <c r="D202" s="208"/>
      <c r="E202" s="208"/>
      <c r="F202" s="208"/>
      <c r="G202" s="208"/>
      <c r="H202" s="208"/>
      <c r="I202" s="205"/>
    </row>
    <row r="203" customFormat="false" ht="15" hidden="false" customHeight="false" outlineLevel="0" collapsed="false">
      <c r="A203" s="204"/>
      <c r="B203" s="208"/>
      <c r="C203" s="209"/>
      <c r="D203" s="209"/>
      <c r="E203" s="126" t="s">
        <v>298</v>
      </c>
      <c r="F203" s="126"/>
      <c r="G203" s="210" t="n">
        <f aca="false">G184+G188+G192+G196+G200</f>
        <v>26962.5</v>
      </c>
      <c r="H203" s="210"/>
      <c r="I203" s="205"/>
    </row>
    <row r="204" customFormat="false" ht="15" hidden="false" customHeight="false" outlineLevel="0" collapsed="false">
      <c r="A204" s="204"/>
      <c r="B204" s="111"/>
      <c r="C204" s="78"/>
      <c r="D204" s="78"/>
      <c r="E204" s="197"/>
      <c r="F204" s="197"/>
      <c r="G204" s="206"/>
      <c r="H204" s="206"/>
      <c r="I204" s="203"/>
    </row>
    <row r="205" customFormat="false" ht="15" hidden="false" customHeight="false" outlineLevel="0" collapsed="false">
      <c r="A205" s="204"/>
      <c r="B205" s="111"/>
      <c r="C205" s="78"/>
      <c r="D205" s="78"/>
      <c r="E205" s="197"/>
      <c r="F205" s="197"/>
      <c r="G205" s="206"/>
      <c r="H205" s="206"/>
      <c r="I205" s="203"/>
    </row>
    <row r="206" customFormat="false" ht="15" hidden="false" customHeight="false" outlineLevel="0" collapsed="false">
      <c r="B206" s="54" t="s">
        <v>86</v>
      </c>
      <c r="C206" s="107"/>
      <c r="D206" s="36" t="s">
        <v>87</v>
      </c>
      <c r="E206" s="36"/>
      <c r="G206" s="36" t="s">
        <v>88</v>
      </c>
      <c r="H206" s="36"/>
      <c r="I206" s="36"/>
    </row>
    <row r="207" customFormat="false" ht="15" hidden="false" customHeight="false" outlineLevel="0" collapsed="false">
      <c r="B207" s="107"/>
      <c r="C207" s="107"/>
      <c r="D207" s="107"/>
      <c r="E207" s="107"/>
      <c r="F207" s="107"/>
      <c r="G207" s="107"/>
    </row>
    <row r="208" customFormat="false" ht="15" hidden="false" customHeight="false" outlineLevel="0" collapsed="false">
      <c r="A208" s="36" t="s">
        <v>17</v>
      </c>
      <c r="B208" s="36"/>
      <c r="C208" s="36"/>
      <c r="D208" s="194" t="s">
        <v>22</v>
      </c>
      <c r="E208" s="194"/>
      <c r="G208" s="208" t="s">
        <v>19</v>
      </c>
      <c r="H208" s="208"/>
      <c r="I208" s="208"/>
    </row>
    <row r="209" customFormat="false" ht="15" hidden="false" customHeight="false" outlineLevel="0" collapsed="false">
      <c r="B209" s="54" t="s">
        <v>89</v>
      </c>
      <c r="D209" s="36" t="s">
        <v>299</v>
      </c>
      <c r="E209" s="36"/>
      <c r="F209" s="107" t="s">
        <v>21</v>
      </c>
      <c r="G209" s="36" t="s">
        <v>91</v>
      </c>
      <c r="H209" s="36"/>
      <c r="I209" s="36"/>
    </row>
    <row r="216" customFormat="false" ht="15" hidden="false" customHeight="false" outlineLevel="0" collapsed="false">
      <c r="C216" s="164"/>
      <c r="D216" s="165"/>
      <c r="E216" s="165"/>
      <c r="F216" s="165"/>
      <c r="G216" s="165"/>
    </row>
    <row r="217" customFormat="false" ht="15" hidden="false" customHeight="false" outlineLevel="0" collapsed="false">
      <c r="C217" s="20" t="s">
        <v>284</v>
      </c>
      <c r="D217" s="1"/>
    </row>
    <row r="218" customFormat="false" ht="15" hidden="false" customHeight="false" outlineLevel="0" collapsed="false">
      <c r="B218" s="20" t="s">
        <v>285</v>
      </c>
      <c r="C218" s="166"/>
      <c r="D218" s="167" t="n">
        <v>15</v>
      </c>
      <c r="E218" s="154" t="s">
        <v>286</v>
      </c>
      <c r="F218" s="168" t="s">
        <v>304</v>
      </c>
      <c r="G218" s="169"/>
      <c r="I218" s="170"/>
    </row>
    <row r="219" customFormat="false" ht="15" hidden="false" customHeight="false" outlineLevel="0" collapsed="false">
      <c r="B219" s="20"/>
      <c r="C219" s="166"/>
      <c r="D219" s="1"/>
      <c r="F219" s="171"/>
      <c r="G219" s="171"/>
      <c r="I219" s="172"/>
    </row>
    <row r="220" customFormat="false" ht="19.7" hidden="false" customHeight="false" outlineLevel="0" collapsed="false">
      <c r="A220" s="39"/>
      <c r="B220" s="173"/>
      <c r="C220" s="174" t="s">
        <v>53</v>
      </c>
      <c r="D220" s="174"/>
      <c r="E220" s="174"/>
      <c r="F220" s="174"/>
      <c r="G220" s="175"/>
      <c r="H220" s="175"/>
      <c r="I220" s="37"/>
    </row>
    <row r="221" customFormat="false" ht="15" hidden="false" customHeight="false" outlineLevel="0" collapsed="false">
      <c r="A221" s="39"/>
      <c r="B221" s="126" t="s">
        <v>288</v>
      </c>
      <c r="C221" s="92" t="s">
        <v>289</v>
      </c>
      <c r="D221" s="92" t="s">
        <v>290</v>
      </c>
      <c r="E221" s="92" t="s">
        <v>291</v>
      </c>
      <c r="F221" s="92"/>
      <c r="G221" s="92" t="s">
        <v>292</v>
      </c>
      <c r="H221" s="92"/>
      <c r="I221" s="37"/>
    </row>
    <row r="222" customFormat="false" ht="15" hidden="false" customHeight="false" outlineLevel="0" collapsed="false">
      <c r="A222" s="39"/>
      <c r="B222" s="176" t="n">
        <f aca="false">'INGRESOS Y EGRESOS'!E304</f>
        <v>6385</v>
      </c>
      <c r="C222" s="177" t="n">
        <f aca="false">G184</f>
        <v>13796.5</v>
      </c>
      <c r="D222" s="178" t="n">
        <f aca="false">B222+C222</f>
        <v>20181.5</v>
      </c>
      <c r="E222" s="179" t="n">
        <f aca="false">'INGRESOS Y EGRESOS'!E316</f>
        <v>3990</v>
      </c>
      <c r="F222" s="179"/>
      <c r="G222" s="180" t="n">
        <f aca="false">D222-E222</f>
        <v>16191.5</v>
      </c>
      <c r="H222" s="180"/>
      <c r="I222" s="37"/>
    </row>
    <row r="223" customFormat="false" ht="15" hidden="false" customHeight="false" outlineLevel="0" collapsed="false">
      <c r="A223" s="39"/>
      <c r="B223" s="42"/>
      <c r="C223" s="39"/>
      <c r="D223" s="39"/>
      <c r="E223" s="39"/>
      <c r="F223" s="39"/>
      <c r="G223" s="181"/>
      <c r="H223" s="181"/>
      <c r="I223" s="37"/>
    </row>
    <row r="224" customFormat="false" ht="19.7" hidden="false" customHeight="false" outlineLevel="0" collapsed="false">
      <c r="A224" s="182"/>
      <c r="B224" s="37"/>
      <c r="C224" s="183" t="s">
        <v>293</v>
      </c>
      <c r="D224" s="183"/>
      <c r="E224" s="183"/>
      <c r="F224" s="183"/>
      <c r="G224" s="39"/>
      <c r="H224" s="37"/>
      <c r="I224" s="37"/>
    </row>
    <row r="225" customFormat="false" ht="15" hidden="false" customHeight="false" outlineLevel="0" collapsed="false">
      <c r="A225" s="37"/>
      <c r="B225" s="126" t="s">
        <v>294</v>
      </c>
      <c r="C225" s="92" t="s">
        <v>289</v>
      </c>
      <c r="D225" s="92" t="s">
        <v>290</v>
      </c>
      <c r="E225" s="92" t="s">
        <v>291</v>
      </c>
      <c r="F225" s="92"/>
      <c r="G225" s="92" t="s">
        <v>292</v>
      </c>
      <c r="H225" s="92"/>
      <c r="I225" s="37"/>
    </row>
    <row r="226" customFormat="false" ht="15" hidden="false" customHeight="false" outlineLevel="0" collapsed="false">
      <c r="A226" s="37"/>
      <c r="B226" s="184" t="n">
        <f aca="false">'INGRESOS Y EGRESOS'!F304</f>
        <v>1550</v>
      </c>
      <c r="C226" s="177" t="n">
        <f aca="false">G188</f>
        <v>10894</v>
      </c>
      <c r="D226" s="178" t="n">
        <f aca="false">B226+C226</f>
        <v>12444</v>
      </c>
      <c r="E226" s="185" t="n">
        <f aca="false">'INGRESOS Y EGRESOS'!F316</f>
        <v>10300</v>
      </c>
      <c r="F226" s="185"/>
      <c r="G226" s="186" t="n">
        <f aca="false">D226-E226</f>
        <v>2144</v>
      </c>
      <c r="H226" s="186"/>
      <c r="I226" s="37"/>
    </row>
    <row r="227" customFormat="false" ht="15" hidden="false" customHeight="false" outlineLevel="0" collapsed="false">
      <c r="A227" s="37"/>
      <c r="B227" s="187"/>
      <c r="C227" s="187"/>
      <c r="D227" s="187"/>
      <c r="E227" s="188"/>
      <c r="F227" s="188"/>
      <c r="G227" s="189"/>
      <c r="H227" s="189"/>
      <c r="I227" s="37"/>
    </row>
    <row r="228" customFormat="false" ht="19.7" hidden="false" customHeight="false" outlineLevel="0" collapsed="false">
      <c r="A228" s="37"/>
      <c r="B228" s="190"/>
      <c r="C228" s="191" t="s">
        <v>295</v>
      </c>
      <c r="D228" s="191"/>
      <c r="E228" s="191"/>
      <c r="F228" s="191"/>
      <c r="G228" s="192"/>
      <c r="H228" s="40"/>
      <c r="I228" s="193"/>
    </row>
    <row r="229" customFormat="false" ht="15" hidden="false" customHeight="false" outlineLevel="0" collapsed="false">
      <c r="A229" s="37"/>
      <c r="B229" s="106" t="s">
        <v>294</v>
      </c>
      <c r="C229" s="114" t="s">
        <v>289</v>
      </c>
      <c r="D229" s="114" t="s">
        <v>290</v>
      </c>
      <c r="E229" s="114" t="s">
        <v>291</v>
      </c>
      <c r="F229" s="114"/>
      <c r="G229" s="114" t="s">
        <v>292</v>
      </c>
      <c r="H229" s="114"/>
      <c r="I229" s="193"/>
    </row>
    <row r="230" customFormat="false" ht="15" hidden="false" customHeight="false" outlineLevel="0" collapsed="false">
      <c r="A230" s="194"/>
      <c r="B230" s="184" t="n">
        <f aca="false">'INGRESOS Y EGRESOS'!G304</f>
        <v>1281</v>
      </c>
      <c r="C230" s="177" t="n">
        <f aca="false">G192</f>
        <v>1127</v>
      </c>
      <c r="D230" s="178" t="n">
        <f aca="false">B230+C230</f>
        <v>2408</v>
      </c>
      <c r="E230" s="185"/>
      <c r="F230" s="185"/>
      <c r="G230" s="186" t="n">
        <f aca="false">D230-E230</f>
        <v>2408</v>
      </c>
      <c r="H230" s="186"/>
      <c r="I230" s="195"/>
    </row>
    <row r="231" customFormat="false" ht="15" hidden="false" customHeight="false" outlineLevel="0" collapsed="false">
      <c r="A231" s="37"/>
      <c r="B231" s="196"/>
      <c r="C231" s="196"/>
      <c r="D231" s="196"/>
      <c r="E231" s="197"/>
      <c r="F231" s="197"/>
      <c r="G231" s="197"/>
      <c r="H231" s="197"/>
      <c r="I231" s="198"/>
    </row>
    <row r="232" customFormat="false" ht="15" hidden="false" customHeight="false" outlineLevel="0" collapsed="false">
      <c r="A232" s="37"/>
      <c r="B232" s="196"/>
      <c r="C232" s="211" t="s">
        <v>296</v>
      </c>
      <c r="D232" s="211"/>
      <c r="E232" s="211"/>
      <c r="F232" s="211"/>
      <c r="G232" s="197"/>
      <c r="H232" s="197"/>
      <c r="I232" s="198"/>
    </row>
    <row r="233" customFormat="false" ht="15" hidden="false" customHeight="false" outlineLevel="0" collapsed="false">
      <c r="A233" s="37"/>
      <c r="B233" s="106" t="s">
        <v>294</v>
      </c>
      <c r="C233" s="114" t="s">
        <v>289</v>
      </c>
      <c r="D233" s="114" t="s">
        <v>290</v>
      </c>
      <c r="E233" s="114" t="s">
        <v>291</v>
      </c>
      <c r="F233" s="114"/>
      <c r="G233" s="114" t="s">
        <v>292</v>
      </c>
      <c r="H233" s="114"/>
      <c r="I233" s="198"/>
    </row>
    <row r="234" customFormat="false" ht="15" hidden="false" customHeight="false" outlineLevel="0" collapsed="false">
      <c r="A234" s="37"/>
      <c r="B234" s="184" t="n">
        <f aca="false">'INGRESOS Y EGRESOS'!H304</f>
        <v>315</v>
      </c>
      <c r="C234" s="177" t="n">
        <f aca="false">G196</f>
        <v>711</v>
      </c>
      <c r="D234" s="178" t="n">
        <f aca="false">B234+C234</f>
        <v>1026</v>
      </c>
      <c r="E234" s="185" t="n">
        <v>0</v>
      </c>
      <c r="F234" s="185"/>
      <c r="G234" s="186" t="n">
        <f aca="false">D234-E234</f>
        <v>1026</v>
      </c>
      <c r="H234" s="186"/>
      <c r="I234" s="198"/>
    </row>
    <row r="235" customFormat="false" ht="15" hidden="false" customHeight="false" outlineLevel="0" collapsed="false">
      <c r="A235" s="37"/>
      <c r="B235" s="199"/>
      <c r="C235" s="199"/>
      <c r="D235" s="198"/>
      <c r="E235" s="200"/>
      <c r="F235" s="200"/>
      <c r="G235" s="201"/>
      <c r="H235" s="201"/>
      <c r="I235" s="198"/>
    </row>
    <row r="236" customFormat="false" ht="19.7" hidden="false" customHeight="false" outlineLevel="0" collapsed="false">
      <c r="A236" s="37"/>
      <c r="B236" s="40"/>
      <c r="C236" s="202" t="s">
        <v>305</v>
      </c>
      <c r="D236" s="202"/>
      <c r="E236" s="202"/>
      <c r="F236" s="202"/>
      <c r="G236" s="40"/>
      <c r="H236" s="40"/>
      <c r="I236" s="203"/>
    </row>
    <row r="237" customFormat="false" ht="15" hidden="false" customHeight="false" outlineLevel="0" collapsed="false">
      <c r="A237" s="204"/>
      <c r="B237" s="106" t="s">
        <v>294</v>
      </c>
      <c r="C237" s="114" t="s">
        <v>289</v>
      </c>
      <c r="D237" s="114" t="s">
        <v>290</v>
      </c>
      <c r="E237" s="114" t="s">
        <v>291</v>
      </c>
      <c r="F237" s="114"/>
      <c r="G237" s="114" t="s">
        <v>292</v>
      </c>
      <c r="H237" s="114"/>
      <c r="I237" s="205"/>
    </row>
    <row r="238" customFormat="false" ht="15" hidden="false" customHeight="false" outlineLevel="0" collapsed="false">
      <c r="A238" s="204"/>
      <c r="B238" s="184" t="n">
        <f aca="false">'INGRESOS Y EGRESOS'!I293</f>
        <v>0</v>
      </c>
      <c r="C238" s="177" t="n">
        <f aca="false">G194</f>
        <v>0</v>
      </c>
      <c r="D238" s="178" t="n">
        <f aca="false">G200</f>
        <v>434</v>
      </c>
      <c r="E238" s="185" t="n">
        <v>0</v>
      </c>
      <c r="F238" s="185"/>
      <c r="G238" s="186" t="n">
        <f aca="false">D238-E238</f>
        <v>434</v>
      </c>
      <c r="H238" s="186"/>
      <c r="I238" s="205"/>
    </row>
    <row r="239" customFormat="false" ht="15" hidden="false" customHeight="false" outlineLevel="0" collapsed="false">
      <c r="A239" s="204"/>
      <c r="B239" s="78"/>
      <c r="C239" s="78"/>
      <c r="D239" s="78"/>
      <c r="E239" s="42"/>
      <c r="F239" s="206"/>
      <c r="G239" s="207"/>
      <c r="H239" s="45"/>
      <c r="I239" s="205"/>
    </row>
    <row r="240" customFormat="false" ht="15" hidden="false" customHeight="false" outlineLevel="0" collapsed="false">
      <c r="A240" s="204"/>
      <c r="B240" s="208"/>
      <c r="C240" s="208"/>
      <c r="D240" s="208"/>
      <c r="E240" s="208"/>
      <c r="F240" s="208"/>
      <c r="G240" s="208"/>
      <c r="H240" s="208"/>
      <c r="I240" s="205"/>
    </row>
    <row r="241" customFormat="false" ht="15" hidden="false" customHeight="false" outlineLevel="0" collapsed="false">
      <c r="A241" s="204"/>
      <c r="B241" s="208"/>
      <c r="C241" s="209"/>
      <c r="D241" s="209"/>
      <c r="E241" s="126" t="s">
        <v>298</v>
      </c>
      <c r="F241" s="126"/>
      <c r="G241" s="210" t="n">
        <f aca="false">G222+G226+G230+G234+G238</f>
        <v>22203.5</v>
      </c>
      <c r="H241" s="210"/>
      <c r="I241" s="205"/>
    </row>
    <row r="242" customFormat="false" ht="15" hidden="false" customHeight="false" outlineLevel="0" collapsed="false">
      <c r="A242" s="204"/>
      <c r="B242" s="111"/>
      <c r="C242" s="78"/>
      <c r="D242" s="78"/>
      <c r="E242" s="197"/>
      <c r="F242" s="197"/>
      <c r="G242" s="206"/>
      <c r="H242" s="206"/>
      <c r="I242" s="203"/>
    </row>
    <row r="243" customFormat="false" ht="15" hidden="false" customHeight="false" outlineLevel="0" collapsed="false">
      <c r="A243" s="204"/>
      <c r="B243" s="111"/>
      <c r="C243" s="78"/>
      <c r="D243" s="78"/>
      <c r="E243" s="197"/>
      <c r="F243" s="197"/>
      <c r="G243" s="206"/>
      <c r="H243" s="206"/>
      <c r="I243" s="203"/>
    </row>
    <row r="244" customFormat="false" ht="15" hidden="false" customHeight="false" outlineLevel="0" collapsed="false">
      <c r="B244" s="54" t="s">
        <v>86</v>
      </c>
      <c r="C244" s="107"/>
      <c r="D244" s="36" t="s">
        <v>87</v>
      </c>
      <c r="E244" s="36"/>
      <c r="G244" s="36" t="s">
        <v>88</v>
      </c>
      <c r="H244" s="36"/>
      <c r="I244" s="36"/>
    </row>
    <row r="245" customFormat="false" ht="15" hidden="false" customHeight="false" outlineLevel="0" collapsed="false">
      <c r="B245" s="107"/>
      <c r="C245" s="107"/>
      <c r="D245" s="107"/>
      <c r="E245" s="107"/>
      <c r="F245" s="107"/>
      <c r="G245" s="107"/>
    </row>
    <row r="246" customFormat="false" ht="15" hidden="false" customHeight="false" outlineLevel="0" collapsed="false">
      <c r="A246" s="36" t="s">
        <v>17</v>
      </c>
      <c r="B246" s="36"/>
      <c r="C246" s="36"/>
      <c r="D246" s="194" t="s">
        <v>22</v>
      </c>
      <c r="E246" s="194"/>
      <c r="G246" s="208" t="s">
        <v>19</v>
      </c>
      <c r="H246" s="208"/>
      <c r="I246" s="208"/>
    </row>
    <row r="247" customFormat="false" ht="15" hidden="false" customHeight="false" outlineLevel="0" collapsed="false">
      <c r="B247" s="54" t="s">
        <v>89</v>
      </c>
      <c r="D247" s="36" t="s">
        <v>299</v>
      </c>
      <c r="E247" s="36"/>
      <c r="F247" s="107" t="s">
        <v>21</v>
      </c>
      <c r="G247" s="36" t="s">
        <v>91</v>
      </c>
      <c r="H247" s="36"/>
      <c r="I247" s="36"/>
    </row>
  </sheetData>
  <mergeCells count="246">
    <mergeCell ref="C6:F6"/>
    <mergeCell ref="G6:H6"/>
    <mergeCell ref="E7:F7"/>
    <mergeCell ref="G7:H7"/>
    <mergeCell ref="E8:F8"/>
    <mergeCell ref="G8:H8"/>
    <mergeCell ref="E9:F9"/>
    <mergeCell ref="G9:H9"/>
    <mergeCell ref="C10:F10"/>
    <mergeCell ref="E11:F11"/>
    <mergeCell ref="G11:H11"/>
    <mergeCell ref="E12:F12"/>
    <mergeCell ref="G12:H12"/>
    <mergeCell ref="E13:F13"/>
    <mergeCell ref="G13:H13"/>
    <mergeCell ref="C14:F14"/>
    <mergeCell ref="E15:F15"/>
    <mergeCell ref="G15:H15"/>
    <mergeCell ref="E16:F16"/>
    <mergeCell ref="G16:H16"/>
    <mergeCell ref="C18:F18"/>
    <mergeCell ref="E19:F19"/>
    <mergeCell ref="G19:H19"/>
    <mergeCell ref="E20:F20"/>
    <mergeCell ref="G20:H20"/>
    <mergeCell ref="C22:F22"/>
    <mergeCell ref="E23:F23"/>
    <mergeCell ref="G23:H23"/>
    <mergeCell ref="E24:F24"/>
    <mergeCell ref="G24:H24"/>
    <mergeCell ref="B25:D25"/>
    <mergeCell ref="B26:H26"/>
    <mergeCell ref="E27:F27"/>
    <mergeCell ref="G27:H27"/>
    <mergeCell ref="G28:H28"/>
    <mergeCell ref="D30:E30"/>
    <mergeCell ref="G30:I30"/>
    <mergeCell ref="A32:C32"/>
    <mergeCell ref="G32:I32"/>
    <mergeCell ref="D33:E33"/>
    <mergeCell ref="G33:I33"/>
    <mergeCell ref="C50:F50"/>
    <mergeCell ref="G50:H50"/>
    <mergeCell ref="E51:F51"/>
    <mergeCell ref="G51:H51"/>
    <mergeCell ref="E52:F52"/>
    <mergeCell ref="G52:H52"/>
    <mergeCell ref="E53:F53"/>
    <mergeCell ref="G53:H53"/>
    <mergeCell ref="C54:F54"/>
    <mergeCell ref="E55:F55"/>
    <mergeCell ref="G55:H55"/>
    <mergeCell ref="E56:F56"/>
    <mergeCell ref="G56:H56"/>
    <mergeCell ref="E57:F57"/>
    <mergeCell ref="G57:H57"/>
    <mergeCell ref="C58:F58"/>
    <mergeCell ref="E59:F59"/>
    <mergeCell ref="G59:H59"/>
    <mergeCell ref="E60:F60"/>
    <mergeCell ref="G60:H60"/>
    <mergeCell ref="C62:F62"/>
    <mergeCell ref="E63:F63"/>
    <mergeCell ref="G63:H63"/>
    <mergeCell ref="E64:F64"/>
    <mergeCell ref="G64:H64"/>
    <mergeCell ref="C66:F66"/>
    <mergeCell ref="E67:F67"/>
    <mergeCell ref="G67:H67"/>
    <mergeCell ref="E68:F68"/>
    <mergeCell ref="G68:H68"/>
    <mergeCell ref="B69:D69"/>
    <mergeCell ref="B70:H70"/>
    <mergeCell ref="E71:F71"/>
    <mergeCell ref="G71:H71"/>
    <mergeCell ref="G72:H72"/>
    <mergeCell ref="D74:E74"/>
    <mergeCell ref="G74:I74"/>
    <mergeCell ref="A76:C76"/>
    <mergeCell ref="G76:I76"/>
    <mergeCell ref="D77:E77"/>
    <mergeCell ref="G77:I77"/>
    <mergeCell ref="C94:F94"/>
    <mergeCell ref="G94:H94"/>
    <mergeCell ref="E95:F95"/>
    <mergeCell ref="G95:H95"/>
    <mergeCell ref="E96:F96"/>
    <mergeCell ref="G96:H96"/>
    <mergeCell ref="E97:F97"/>
    <mergeCell ref="G97:H97"/>
    <mergeCell ref="C98:F98"/>
    <mergeCell ref="E99:F99"/>
    <mergeCell ref="G99:H99"/>
    <mergeCell ref="E100:F100"/>
    <mergeCell ref="G100:H100"/>
    <mergeCell ref="E101:F101"/>
    <mergeCell ref="G101:H101"/>
    <mergeCell ref="C102:F102"/>
    <mergeCell ref="E103:F103"/>
    <mergeCell ref="G103:H103"/>
    <mergeCell ref="E104:F104"/>
    <mergeCell ref="G104:H104"/>
    <mergeCell ref="C106:F106"/>
    <mergeCell ref="E107:F107"/>
    <mergeCell ref="G107:H107"/>
    <mergeCell ref="E108:F108"/>
    <mergeCell ref="G108:H108"/>
    <mergeCell ref="C110:F110"/>
    <mergeCell ref="E111:F111"/>
    <mergeCell ref="G111:H111"/>
    <mergeCell ref="E112:F112"/>
    <mergeCell ref="G112:H112"/>
    <mergeCell ref="B113:D113"/>
    <mergeCell ref="B114:H114"/>
    <mergeCell ref="E115:F115"/>
    <mergeCell ref="G115:H115"/>
    <mergeCell ref="G116:H116"/>
    <mergeCell ref="D118:E118"/>
    <mergeCell ref="G118:I118"/>
    <mergeCell ref="A120:C120"/>
    <mergeCell ref="G120:I120"/>
    <mergeCell ref="D121:E121"/>
    <mergeCell ref="G121:I121"/>
    <mergeCell ref="C138:F138"/>
    <mergeCell ref="G138:H138"/>
    <mergeCell ref="E139:F139"/>
    <mergeCell ref="G139:H139"/>
    <mergeCell ref="E140:F140"/>
    <mergeCell ref="G140:H140"/>
    <mergeCell ref="E141:F141"/>
    <mergeCell ref="G141:H141"/>
    <mergeCell ref="C142:F142"/>
    <mergeCell ref="E143:F143"/>
    <mergeCell ref="G143:H143"/>
    <mergeCell ref="E144:F144"/>
    <mergeCell ref="G144:H144"/>
    <mergeCell ref="E145:F145"/>
    <mergeCell ref="G145:H145"/>
    <mergeCell ref="C146:F146"/>
    <mergeCell ref="E147:F147"/>
    <mergeCell ref="G147:H147"/>
    <mergeCell ref="E148:F148"/>
    <mergeCell ref="G148:H148"/>
    <mergeCell ref="C150:F150"/>
    <mergeCell ref="E151:F151"/>
    <mergeCell ref="G151:H151"/>
    <mergeCell ref="E152:F152"/>
    <mergeCell ref="G152:H152"/>
    <mergeCell ref="C154:F154"/>
    <mergeCell ref="E155:F155"/>
    <mergeCell ref="G155:H155"/>
    <mergeCell ref="E156:F156"/>
    <mergeCell ref="G156:H156"/>
    <mergeCell ref="B157:D157"/>
    <mergeCell ref="B158:H158"/>
    <mergeCell ref="E159:F159"/>
    <mergeCell ref="G159:H159"/>
    <mergeCell ref="G160:H160"/>
    <mergeCell ref="D162:E162"/>
    <mergeCell ref="G162:I162"/>
    <mergeCell ref="A164:C164"/>
    <mergeCell ref="G164:I164"/>
    <mergeCell ref="D165:E165"/>
    <mergeCell ref="G165:I165"/>
    <mergeCell ref="C182:F182"/>
    <mergeCell ref="G182:H182"/>
    <mergeCell ref="E183:F183"/>
    <mergeCell ref="G183:H183"/>
    <mergeCell ref="E184:F184"/>
    <mergeCell ref="G184:H184"/>
    <mergeCell ref="E185:F185"/>
    <mergeCell ref="G185:H185"/>
    <mergeCell ref="C186:F186"/>
    <mergeCell ref="E187:F187"/>
    <mergeCell ref="G187:H187"/>
    <mergeCell ref="E188:F188"/>
    <mergeCell ref="G188:H188"/>
    <mergeCell ref="E189:F189"/>
    <mergeCell ref="G189:H189"/>
    <mergeCell ref="C190:F190"/>
    <mergeCell ref="E191:F191"/>
    <mergeCell ref="G191:H191"/>
    <mergeCell ref="E192:F192"/>
    <mergeCell ref="G192:H192"/>
    <mergeCell ref="C194:F194"/>
    <mergeCell ref="E195:F195"/>
    <mergeCell ref="G195:H195"/>
    <mergeCell ref="E196:F196"/>
    <mergeCell ref="G196:H196"/>
    <mergeCell ref="C198:F198"/>
    <mergeCell ref="E199:F199"/>
    <mergeCell ref="G199:H199"/>
    <mergeCell ref="E200:F200"/>
    <mergeCell ref="G200:H200"/>
    <mergeCell ref="B201:D201"/>
    <mergeCell ref="B202:H202"/>
    <mergeCell ref="E203:F203"/>
    <mergeCell ref="G203:H203"/>
    <mergeCell ref="G204:H204"/>
    <mergeCell ref="D206:E206"/>
    <mergeCell ref="G206:I206"/>
    <mergeCell ref="A208:C208"/>
    <mergeCell ref="G208:I208"/>
    <mergeCell ref="D209:E209"/>
    <mergeCell ref="G209:I209"/>
    <mergeCell ref="C220:F220"/>
    <mergeCell ref="G220:H220"/>
    <mergeCell ref="E221:F221"/>
    <mergeCell ref="G221:H221"/>
    <mergeCell ref="E222:F222"/>
    <mergeCell ref="G222:H222"/>
    <mergeCell ref="E223:F223"/>
    <mergeCell ref="G223:H223"/>
    <mergeCell ref="C224:F224"/>
    <mergeCell ref="E225:F225"/>
    <mergeCell ref="G225:H225"/>
    <mergeCell ref="E226:F226"/>
    <mergeCell ref="G226:H226"/>
    <mergeCell ref="E227:F227"/>
    <mergeCell ref="G227:H227"/>
    <mergeCell ref="C228:F228"/>
    <mergeCell ref="E229:F229"/>
    <mergeCell ref="G229:H229"/>
    <mergeCell ref="E230:F230"/>
    <mergeCell ref="G230:H230"/>
    <mergeCell ref="C232:F232"/>
    <mergeCell ref="E233:F233"/>
    <mergeCell ref="G233:H233"/>
    <mergeCell ref="E234:F234"/>
    <mergeCell ref="G234:H234"/>
    <mergeCell ref="C236:F236"/>
    <mergeCell ref="E237:F237"/>
    <mergeCell ref="G237:H237"/>
    <mergeCell ref="E238:F238"/>
    <mergeCell ref="G238:H238"/>
    <mergeCell ref="B239:D239"/>
    <mergeCell ref="B240:H240"/>
    <mergeCell ref="E241:F241"/>
    <mergeCell ref="G241:H241"/>
    <mergeCell ref="G242:H242"/>
    <mergeCell ref="D244:E244"/>
    <mergeCell ref="G244:I244"/>
    <mergeCell ref="A246:C246"/>
    <mergeCell ref="G246:I246"/>
    <mergeCell ref="D247:E247"/>
    <mergeCell ref="G247:I247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391"/>
  <sheetViews>
    <sheetView showFormulas="false" showGridLines="true" showRowColHeaders="true" showZeros="true" rightToLeft="false" tabSelected="false" showOutlineSymbols="true" defaultGridColor="true" view="normal" topLeftCell="A348" colorId="64" zoomScale="100" zoomScaleNormal="100" zoomScalePageLayoutView="100" workbookViewId="0">
      <selection pane="topLeft" activeCell="B303" activeCellId="0" sqref="B303"/>
    </sheetView>
  </sheetViews>
  <sheetFormatPr defaultColWidth="10.95703125" defaultRowHeight="15" zeroHeight="false" outlineLevelRow="0" outlineLevelCol="0"/>
  <cols>
    <col collapsed="false" customWidth="true" hidden="false" outlineLevel="0" max="1" min="1" style="1" width="3.27"/>
    <col collapsed="false" customWidth="true" hidden="false" outlineLevel="0" max="2" min="2" style="1" width="16.98"/>
    <col collapsed="false" customWidth="true" hidden="false" outlineLevel="0" max="3" min="3" style="1" width="6.84"/>
    <col collapsed="false" customWidth="true" hidden="false" outlineLevel="0" max="4" min="4" style="1" width="3.55"/>
    <col collapsed="false" customWidth="true" hidden="false" outlineLevel="0" max="5" min="5" style="1" width="6.12"/>
    <col collapsed="false" customWidth="true" hidden="false" outlineLevel="0" max="7" min="6" style="1" width="5.4"/>
    <col collapsed="false" customWidth="true" hidden="false" outlineLevel="0" max="8" min="8" style="1" width="8.27"/>
    <col collapsed="false" customWidth="true" hidden="false" outlineLevel="0" max="9" min="9" style="1" width="9.41"/>
    <col collapsed="false" customWidth="true" hidden="false" outlineLevel="0" max="10" min="10" style="1" width="9.55"/>
    <col collapsed="false" customWidth="true" hidden="false" outlineLevel="0" max="11" min="11" style="1" width="10.55"/>
  </cols>
  <sheetData>
    <row r="3" customFormat="false" ht="15" hidden="false" customHeight="true" outlineLevel="0" collapsed="false">
      <c r="C3" s="212" t="s">
        <v>44</v>
      </c>
      <c r="D3" s="212"/>
      <c r="E3" s="212"/>
      <c r="F3" s="212"/>
      <c r="G3" s="212"/>
      <c r="H3" s="212"/>
      <c r="I3" s="212"/>
      <c r="J3" s="212"/>
    </row>
    <row r="4" customFormat="false" ht="15" hidden="false" customHeight="false" outlineLevel="0" collapsed="false">
      <c r="A4" s="213" t="s">
        <v>306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  <c r="L4" s="213"/>
    </row>
    <row r="5" customFormat="false" ht="15" hidden="false" customHeight="false" outlineLevel="0" collapsed="false">
      <c r="F5" s="214" t="s">
        <v>307</v>
      </c>
    </row>
    <row r="7" customFormat="false" ht="15" hidden="false" customHeight="false" outlineLevel="0" collapsed="false">
      <c r="B7" s="215" t="s">
        <v>308</v>
      </c>
      <c r="D7" s="215" t="s">
        <v>309</v>
      </c>
    </row>
    <row r="8" customFormat="false" ht="15" hidden="false" customHeight="false" outlineLevel="0" collapsed="false">
      <c r="B8" s="216" t="s">
        <v>310</v>
      </c>
      <c r="C8" s="217" t="s">
        <v>301</v>
      </c>
      <c r="D8" s="217"/>
      <c r="E8" s="217"/>
    </row>
    <row r="9" customFormat="false" ht="11.1" hidden="false" customHeight="true" outlineLevel="0" collapsed="false">
      <c r="B9" s="214" t="s">
        <v>311</v>
      </c>
      <c r="J9" s="218" t="s">
        <v>312</v>
      </c>
    </row>
    <row r="10" customFormat="false" ht="11.1" hidden="false" customHeight="true" outlineLevel="0" collapsed="false">
      <c r="B10" s="219" t="s">
        <v>53</v>
      </c>
      <c r="F10" s="220"/>
      <c r="G10" s="220"/>
      <c r="H10" s="220"/>
      <c r="I10" s="221" t="s">
        <v>313</v>
      </c>
      <c r="J10" s="218"/>
    </row>
    <row r="11" customFormat="false" ht="11.1" hidden="false" customHeight="true" outlineLevel="0" collapsed="false">
      <c r="B11" s="219"/>
      <c r="F11" s="222" t="s">
        <v>314</v>
      </c>
      <c r="G11" s="222" t="s">
        <v>315</v>
      </c>
      <c r="H11" s="223" t="s">
        <v>316</v>
      </c>
      <c r="I11" s="221"/>
      <c r="J11" s="218"/>
    </row>
    <row r="12" customFormat="false" ht="11.1" hidden="false" customHeight="true" outlineLevel="0" collapsed="false"/>
    <row r="13" customFormat="false" ht="11.1" hidden="false" customHeight="true" outlineLevel="0" collapsed="false">
      <c r="B13" s="214" t="s">
        <v>317</v>
      </c>
      <c r="F13" s="224" t="n">
        <v>1</v>
      </c>
      <c r="G13" s="224" t="n">
        <v>17</v>
      </c>
      <c r="H13" s="225" t="n">
        <v>120</v>
      </c>
      <c r="I13" s="226" t="n">
        <f aca="false">F13*G13*H13</f>
        <v>2040</v>
      </c>
      <c r="J13" s="224"/>
    </row>
    <row r="14" customFormat="false" ht="11.1" hidden="false" customHeight="true" outlineLevel="0" collapsed="false">
      <c r="B14" s="220" t="s">
        <v>318</v>
      </c>
      <c r="F14" s="227"/>
      <c r="G14" s="227"/>
      <c r="H14" s="227" t="s">
        <v>21</v>
      </c>
      <c r="I14" s="227" t="s">
        <v>21</v>
      </c>
      <c r="J14" s="227"/>
    </row>
    <row r="15" customFormat="false" ht="11.1" hidden="false" customHeight="true" outlineLevel="0" collapsed="false">
      <c r="B15" s="214" t="s">
        <v>319</v>
      </c>
      <c r="F15" s="228" t="s">
        <v>21</v>
      </c>
      <c r="G15" s="229" t="n">
        <v>0</v>
      </c>
      <c r="H15" s="230" t="n">
        <v>250</v>
      </c>
      <c r="I15" s="231" t="n">
        <f aca="false">G15*H15</f>
        <v>0</v>
      </c>
      <c r="J15" s="228"/>
    </row>
    <row r="16" customFormat="false" ht="11.1" hidden="false" customHeight="true" outlineLevel="0" collapsed="false">
      <c r="B16" s="214" t="s">
        <v>320</v>
      </c>
      <c r="F16" s="228"/>
      <c r="G16" s="229" t="n">
        <v>0</v>
      </c>
      <c r="H16" s="230" t="n">
        <v>250</v>
      </c>
      <c r="I16" s="231" t="n">
        <f aca="false">G16*H16</f>
        <v>0</v>
      </c>
      <c r="J16" s="228"/>
    </row>
    <row r="17" customFormat="false" ht="11.1" hidden="false" customHeight="true" outlineLevel="0" collapsed="false">
      <c r="B17" s="214" t="s">
        <v>321</v>
      </c>
      <c r="F17" s="228"/>
      <c r="G17" s="229" t="n">
        <v>0</v>
      </c>
      <c r="H17" s="230" t="n">
        <v>250</v>
      </c>
      <c r="I17" s="230" t="n">
        <f aca="false">G17*H17</f>
        <v>0</v>
      </c>
      <c r="J17" s="228"/>
    </row>
    <row r="18" customFormat="false" ht="11.1" hidden="false" customHeight="true" outlineLevel="0" collapsed="false">
      <c r="B18" s="214" t="s">
        <v>322</v>
      </c>
      <c r="F18" s="228"/>
      <c r="G18" s="229" t="n">
        <v>0</v>
      </c>
      <c r="H18" s="230" t="n">
        <v>250</v>
      </c>
      <c r="I18" s="231" t="n">
        <f aca="false">G18*H18</f>
        <v>0</v>
      </c>
      <c r="J18" s="228"/>
    </row>
    <row r="19" customFormat="false" ht="11.1" hidden="false" customHeight="true" outlineLevel="0" collapsed="false">
      <c r="B19" s="214" t="s">
        <v>323</v>
      </c>
      <c r="F19" s="228"/>
      <c r="G19" s="229" t="n">
        <v>0</v>
      </c>
      <c r="H19" s="230" t="n">
        <v>250</v>
      </c>
      <c r="I19" s="230" t="n">
        <f aca="false">G19*H19</f>
        <v>0</v>
      </c>
      <c r="J19" s="228"/>
    </row>
    <row r="20" customFormat="false" ht="11.1" hidden="false" customHeight="true" outlineLevel="0" collapsed="false">
      <c r="B20" s="214"/>
      <c r="F20" s="228"/>
      <c r="G20" s="229"/>
      <c r="H20" s="229"/>
      <c r="I20" s="229"/>
      <c r="J20" s="228"/>
    </row>
    <row r="21" customFormat="false" ht="11.1" hidden="false" customHeight="true" outlineLevel="0" collapsed="false">
      <c r="B21" s="220" t="s">
        <v>324</v>
      </c>
      <c r="C21" s="232"/>
      <c r="F21" s="228"/>
      <c r="G21" s="229"/>
      <c r="H21" s="233"/>
      <c r="I21" s="234"/>
      <c r="J21" s="228"/>
    </row>
    <row r="22" customFormat="false" ht="11.1" hidden="false" customHeight="true" outlineLevel="0" collapsed="false">
      <c r="B22" s="214"/>
      <c r="F22" s="228"/>
      <c r="G22" s="229"/>
      <c r="H22" s="229"/>
      <c r="I22" s="229"/>
      <c r="J22" s="228"/>
    </row>
    <row r="23" customFormat="false" ht="11.1" hidden="false" customHeight="true" outlineLevel="0" collapsed="false">
      <c r="B23" s="214" t="s">
        <v>325</v>
      </c>
      <c r="F23" s="228" t="n">
        <f aca="false">F13</f>
        <v>1</v>
      </c>
      <c r="G23" s="229" t="n">
        <f aca="false">G13</f>
        <v>17</v>
      </c>
      <c r="H23" s="235" t="n">
        <v>18</v>
      </c>
      <c r="I23" s="236" t="n">
        <f aca="false">F23*G23*H23</f>
        <v>306</v>
      </c>
      <c r="J23" s="228"/>
    </row>
    <row r="24" customFormat="false" ht="11.1" hidden="false" customHeight="true" outlineLevel="0" collapsed="false">
      <c r="B24" s="214" t="s">
        <v>326</v>
      </c>
      <c r="F24" s="228" t="n">
        <v>1</v>
      </c>
      <c r="G24" s="229" t="s">
        <v>327</v>
      </c>
      <c r="H24" s="237" t="n">
        <v>150</v>
      </c>
      <c r="I24" s="236" t="n">
        <f aca="false">F24*H24</f>
        <v>150</v>
      </c>
      <c r="J24" s="228"/>
    </row>
    <row r="25" customFormat="false" ht="11.1" hidden="false" customHeight="true" outlineLevel="0" collapsed="false">
      <c r="B25" s="214" t="s">
        <v>328</v>
      </c>
      <c r="F25" s="228" t="n">
        <v>1</v>
      </c>
      <c r="G25" s="229" t="s">
        <v>327</v>
      </c>
      <c r="H25" s="237" t="n">
        <v>70</v>
      </c>
      <c r="I25" s="236" t="n">
        <f aca="false">F25*H25</f>
        <v>70</v>
      </c>
      <c r="J25" s="228"/>
    </row>
    <row r="26" customFormat="false" ht="11.1" hidden="false" customHeight="true" outlineLevel="0" collapsed="false">
      <c r="B26" s="214" t="s">
        <v>329</v>
      </c>
      <c r="F26" s="228" t="n">
        <f aca="false">F13</f>
        <v>1</v>
      </c>
      <c r="G26" s="229" t="s">
        <v>327</v>
      </c>
      <c r="H26" s="237" t="n">
        <v>800</v>
      </c>
      <c r="I26" s="236" t="n">
        <f aca="false">F26*H26</f>
        <v>800</v>
      </c>
      <c r="J26" s="228"/>
    </row>
    <row r="27" customFormat="false" ht="11.1" hidden="false" customHeight="true" outlineLevel="0" collapsed="false">
      <c r="B27" s="214"/>
      <c r="F27" s="228"/>
      <c r="G27" s="228"/>
      <c r="H27" s="238"/>
      <c r="I27" s="238"/>
      <c r="J27" s="228"/>
    </row>
    <row r="28" customFormat="false" ht="11.1" hidden="false" customHeight="true" outlineLevel="0" collapsed="false">
      <c r="B28" s="214" t="s">
        <v>330</v>
      </c>
      <c r="F28" s="228" t="n">
        <v>0</v>
      </c>
      <c r="G28" s="228" t="s">
        <v>327</v>
      </c>
      <c r="H28" s="238" t="n">
        <v>500</v>
      </c>
      <c r="I28" s="236" t="n">
        <f aca="false">F28*H28</f>
        <v>0</v>
      </c>
      <c r="J28" s="228"/>
    </row>
    <row r="29" customFormat="false" ht="11.1" hidden="false" customHeight="true" outlineLevel="0" collapsed="false">
      <c r="B29" s="214"/>
      <c r="F29" s="228"/>
      <c r="G29" s="228"/>
      <c r="H29" s="238"/>
      <c r="I29" s="238"/>
      <c r="J29" s="228"/>
    </row>
    <row r="30" customFormat="false" ht="11.1" hidden="false" customHeight="true" outlineLevel="0" collapsed="false">
      <c r="B30" s="220" t="s">
        <v>331</v>
      </c>
      <c r="F30" s="228"/>
      <c r="G30" s="228"/>
      <c r="H30" s="238"/>
      <c r="I30" s="238"/>
      <c r="J30" s="228"/>
    </row>
    <row r="31" customFormat="false" ht="11.1" hidden="false" customHeight="true" outlineLevel="0" collapsed="false">
      <c r="B31" s="214"/>
      <c r="F31" s="228"/>
      <c r="G31" s="228"/>
      <c r="H31" s="238"/>
      <c r="I31" s="238"/>
      <c r="J31" s="228"/>
    </row>
    <row r="32" customFormat="false" ht="11.1" hidden="false" customHeight="true" outlineLevel="0" collapsed="false">
      <c r="B32" s="214" t="s">
        <v>332</v>
      </c>
      <c r="F32" s="228"/>
      <c r="G32" s="228" t="n">
        <v>0</v>
      </c>
      <c r="H32" s="239" t="n">
        <v>150</v>
      </c>
      <c r="I32" s="238"/>
      <c r="J32" s="240" t="n">
        <f aca="false">G32*H32</f>
        <v>0</v>
      </c>
    </row>
    <row r="33" customFormat="false" ht="11.1" hidden="false" customHeight="true" outlineLevel="0" collapsed="false">
      <c r="B33" s="214" t="s">
        <v>333</v>
      </c>
      <c r="F33" s="228" t="n">
        <v>1</v>
      </c>
      <c r="G33" s="228" t="n">
        <f aca="false">G13</f>
        <v>17</v>
      </c>
      <c r="H33" s="239" t="n">
        <v>10</v>
      </c>
      <c r="I33" s="238"/>
      <c r="J33" s="240" t="n">
        <f aca="false">F33*G33*H33</f>
        <v>170</v>
      </c>
    </row>
    <row r="34" customFormat="false" ht="11.1" hidden="false" customHeight="true" outlineLevel="0" collapsed="false">
      <c r="B34" s="214" t="s">
        <v>334</v>
      </c>
      <c r="C34" s="241" t="n">
        <v>2759</v>
      </c>
      <c r="D34" s="242" t="s">
        <v>335</v>
      </c>
      <c r="E34" s="243" t="n">
        <v>2759</v>
      </c>
      <c r="F34" s="244" t="n">
        <v>1</v>
      </c>
      <c r="G34" s="244" t="n">
        <f aca="false">G13</f>
        <v>17</v>
      </c>
      <c r="H34" s="245" t="n">
        <v>50</v>
      </c>
      <c r="I34" s="246"/>
      <c r="J34" s="247" t="n">
        <f aca="false">F34*G34*H34</f>
        <v>850</v>
      </c>
    </row>
    <row r="35" customFormat="false" ht="11.1" hidden="false" customHeight="true" outlineLevel="0" collapsed="false">
      <c r="F35" s="248"/>
      <c r="G35" s="248"/>
      <c r="H35" s="249" t="s">
        <v>336</v>
      </c>
      <c r="I35" s="250" t="n">
        <f aca="false">SUM(I13:I34)</f>
        <v>3366</v>
      </c>
      <c r="J35" s="250" t="n">
        <f aca="false">SUM(J13:J34)</f>
        <v>1020</v>
      </c>
    </row>
    <row r="36" customFormat="false" ht="11.1" hidden="false" customHeight="true" outlineLevel="0" collapsed="false">
      <c r="H36" s="249" t="s">
        <v>58</v>
      </c>
      <c r="I36" s="250" t="n">
        <f aca="false">I35+J35</f>
        <v>4386</v>
      </c>
      <c r="J36" s="250"/>
    </row>
    <row r="37" customFormat="false" ht="11.1" hidden="false" customHeight="true" outlineLevel="0" collapsed="false"/>
    <row r="38" customFormat="false" ht="11.1" hidden="false" customHeight="true" outlineLevel="0" collapsed="false">
      <c r="C38" s="220" t="s">
        <v>285</v>
      </c>
      <c r="E38" s="251"/>
      <c r="G38" s="220" t="s">
        <v>337</v>
      </c>
      <c r="H38" s="214"/>
      <c r="I38" s="214"/>
      <c r="J38" s="220" t="s">
        <v>338</v>
      </c>
    </row>
    <row r="39" customFormat="false" ht="11.1" hidden="false" customHeight="true" outlineLevel="0" collapsed="false">
      <c r="C39" s="251"/>
      <c r="D39" s="251"/>
      <c r="E39" s="251"/>
    </row>
    <row r="40" customFormat="false" ht="11.1" hidden="false" customHeight="true" outlineLevel="0" collapsed="false">
      <c r="C40" s="9" t="n">
        <v>6</v>
      </c>
      <c r="D40" s="214" t="s">
        <v>339</v>
      </c>
      <c r="E40" s="214"/>
      <c r="F40" s="214"/>
      <c r="G40" s="9" t="n">
        <v>0</v>
      </c>
      <c r="H40" s="214" t="s">
        <v>340</v>
      </c>
      <c r="I40" s="214"/>
      <c r="J40" s="9" t="n">
        <v>0</v>
      </c>
      <c r="K40" s="214" t="s">
        <v>341</v>
      </c>
    </row>
    <row r="41" customFormat="false" ht="11.1" hidden="false" customHeight="true" outlineLevel="0" collapsed="false">
      <c r="C41" s="9" t="n">
        <v>6</v>
      </c>
      <c r="D41" s="214" t="s">
        <v>342</v>
      </c>
      <c r="E41" s="214"/>
      <c r="F41" s="214"/>
      <c r="G41" s="9" t="n">
        <v>0</v>
      </c>
      <c r="H41" s="214" t="s">
        <v>343</v>
      </c>
      <c r="I41" s="214"/>
      <c r="J41" s="9" t="n">
        <v>0</v>
      </c>
      <c r="K41" s="214" t="s">
        <v>344</v>
      </c>
    </row>
    <row r="42" customFormat="false" ht="11.1" hidden="false" customHeight="true" outlineLevel="0" collapsed="false">
      <c r="C42" s="9" t="n">
        <v>5</v>
      </c>
      <c r="D42" s="214" t="s">
        <v>345</v>
      </c>
      <c r="E42" s="214"/>
      <c r="F42" s="214"/>
      <c r="G42" s="9" t="n">
        <v>0</v>
      </c>
      <c r="H42" s="214" t="s">
        <v>346</v>
      </c>
      <c r="I42" s="214"/>
      <c r="J42" s="9" t="n">
        <f aca="false">J40+J41</f>
        <v>0</v>
      </c>
      <c r="K42" s="214" t="s">
        <v>58</v>
      </c>
    </row>
    <row r="43" customFormat="false" ht="11.1" hidden="false" customHeight="true" outlineLevel="0" collapsed="false">
      <c r="C43" s="9" t="n">
        <f aca="false">C40+C41+C42</f>
        <v>17</v>
      </c>
      <c r="D43" s="214" t="s">
        <v>58</v>
      </c>
      <c r="E43" s="214"/>
      <c r="F43" s="214"/>
      <c r="G43" s="9" t="n">
        <f aca="false">G40+G41+G42</f>
        <v>0</v>
      </c>
      <c r="H43" s="214" t="s">
        <v>58</v>
      </c>
      <c r="I43" s="214"/>
      <c r="J43" s="248"/>
      <c r="K43" s="214"/>
    </row>
    <row r="44" customFormat="false" ht="11.1" hidden="false" customHeight="true" outlineLevel="0" collapsed="false">
      <c r="C44" s="214"/>
      <c r="D44" s="214"/>
      <c r="E44" s="214"/>
      <c r="F44" s="214"/>
      <c r="G44" s="214"/>
      <c r="H44" s="214"/>
      <c r="I44" s="214"/>
      <c r="J44" s="214"/>
      <c r="K44" s="214"/>
    </row>
    <row r="45" customFormat="false" ht="11.1" hidden="false" customHeight="true" outlineLevel="0" collapsed="false">
      <c r="C45" s="220" t="s">
        <v>347</v>
      </c>
      <c r="D45" s="214"/>
      <c r="F45" s="214"/>
      <c r="G45" s="214"/>
      <c r="H45" s="214"/>
      <c r="J45" s="220" t="s">
        <v>82</v>
      </c>
      <c r="K45" s="214"/>
    </row>
    <row r="46" customFormat="false" ht="11.1" hidden="false" customHeight="true" outlineLevel="0" collapsed="false">
      <c r="C46" s="9" t="n">
        <v>0</v>
      </c>
      <c r="D46" s="252" t="s">
        <v>348</v>
      </c>
      <c r="F46" s="214"/>
      <c r="G46" s="214"/>
      <c r="H46" s="214"/>
      <c r="J46" s="9" t="n">
        <v>0</v>
      </c>
      <c r="K46" s="214" t="s">
        <v>349</v>
      </c>
    </row>
    <row r="47" customFormat="false" ht="11.1" hidden="false" customHeight="true" outlineLevel="0" collapsed="false">
      <c r="C47" s="9" t="n">
        <v>0</v>
      </c>
      <c r="D47" s="214" t="s">
        <v>350</v>
      </c>
      <c r="F47" s="214"/>
      <c r="G47" s="214"/>
      <c r="H47" s="214"/>
      <c r="J47" s="9" t="n">
        <v>0</v>
      </c>
      <c r="K47" s="214" t="s">
        <v>351</v>
      </c>
    </row>
    <row r="48" customFormat="false" ht="11.1" hidden="false" customHeight="true" outlineLevel="0" collapsed="false">
      <c r="C48" s="9" t="n">
        <f aca="false">C46+C47</f>
        <v>0</v>
      </c>
      <c r="D48" s="214" t="s">
        <v>58</v>
      </c>
      <c r="F48" s="214"/>
      <c r="G48" s="214"/>
      <c r="H48" s="214"/>
      <c r="J48" s="9" t="n">
        <f aca="false">J46+J47</f>
        <v>0</v>
      </c>
      <c r="K48" s="214" t="s">
        <v>58</v>
      </c>
    </row>
    <row r="49" customFormat="false" ht="11.1" hidden="false" customHeight="true" outlineLevel="0" collapsed="false">
      <c r="C49" s="214"/>
      <c r="D49" s="214"/>
      <c r="E49" s="214"/>
      <c r="F49" s="214"/>
      <c r="G49" s="214"/>
      <c r="H49" s="214"/>
      <c r="I49" s="214"/>
      <c r="J49" s="214"/>
      <c r="K49" s="214"/>
    </row>
    <row r="50" customFormat="false" ht="11.1" hidden="false" customHeight="true" outlineLevel="0" collapsed="false">
      <c r="C50" s="220" t="s">
        <v>352</v>
      </c>
      <c r="D50" s="214"/>
      <c r="F50" s="214"/>
      <c r="G50" s="214"/>
      <c r="H50" s="214"/>
      <c r="I50" s="214"/>
      <c r="J50" s="214"/>
      <c r="K50" s="214"/>
    </row>
    <row r="51" customFormat="false" ht="11.1" hidden="false" customHeight="true" outlineLevel="0" collapsed="false">
      <c r="C51" s="253" t="n">
        <v>18</v>
      </c>
      <c r="D51" s="214" t="s">
        <v>353</v>
      </c>
      <c r="F51" s="214"/>
      <c r="G51" s="214"/>
      <c r="H51" s="214"/>
      <c r="I51" s="214"/>
      <c r="J51" s="214"/>
      <c r="K51" s="214"/>
    </row>
    <row r="52" customFormat="false" ht="11.1" hidden="false" customHeight="true" outlineLevel="0" collapsed="false">
      <c r="C52" s="253" t="n">
        <v>18</v>
      </c>
      <c r="D52" s="214" t="s">
        <v>354</v>
      </c>
      <c r="F52" s="214"/>
      <c r="G52" s="214"/>
      <c r="H52" s="214"/>
      <c r="I52" s="214"/>
      <c r="J52" s="214"/>
      <c r="K52" s="214"/>
    </row>
    <row r="53" customFormat="false" ht="11.1" hidden="false" customHeight="true" outlineLevel="0" collapsed="false">
      <c r="C53" s="253" t="n">
        <v>0</v>
      </c>
      <c r="D53" s="254" t="s">
        <v>355</v>
      </c>
      <c r="F53" s="214"/>
      <c r="G53" s="214"/>
      <c r="H53" s="214"/>
      <c r="I53" s="214"/>
      <c r="J53" s="214"/>
      <c r="K53" s="214"/>
    </row>
    <row r="54" customFormat="false" ht="11.1" hidden="false" customHeight="true" outlineLevel="0" collapsed="false">
      <c r="C54" s="255"/>
      <c r="D54" s="254"/>
      <c r="F54" s="214"/>
      <c r="G54" s="214"/>
      <c r="H54" s="214"/>
      <c r="I54" s="214"/>
      <c r="J54" s="214"/>
      <c r="K54" s="214"/>
    </row>
    <row r="55" customFormat="false" ht="11.1" hidden="false" customHeight="true" outlineLevel="0" collapsed="false">
      <c r="C55" s="255"/>
      <c r="D55" s="254"/>
      <c r="F55" s="214"/>
      <c r="G55" s="214"/>
      <c r="H55" s="214"/>
      <c r="I55" s="214"/>
      <c r="J55" s="214"/>
      <c r="K55" s="214"/>
    </row>
    <row r="56" customFormat="false" ht="11.1" hidden="false" customHeight="true" outlineLevel="0" collapsed="false"/>
    <row r="57" customFormat="false" ht="11.1" hidden="false" customHeight="true" outlineLevel="0" collapsed="false">
      <c r="B57" s="256" t="s">
        <v>356</v>
      </c>
      <c r="C57" s="256"/>
      <c r="D57" s="257"/>
      <c r="E57" s="258" t="str">
        <f aca="false">C8</f>
        <v>MARZO 2026</v>
      </c>
      <c r="F57" s="257"/>
      <c r="G57" s="257"/>
      <c r="H57" s="257"/>
      <c r="I57" s="214"/>
      <c r="J57" s="214"/>
    </row>
    <row r="58" customFormat="false" ht="11.1" hidden="false" customHeight="true" outlineLevel="0" collapsed="false">
      <c r="B58" s="214"/>
      <c r="C58" s="214"/>
      <c r="D58" s="214"/>
      <c r="E58" s="214"/>
      <c r="F58" s="254"/>
      <c r="G58" s="254"/>
      <c r="H58" s="254"/>
      <c r="I58" s="254"/>
      <c r="J58" s="214"/>
    </row>
    <row r="59" customFormat="false" ht="11.1" hidden="false" customHeight="true" outlineLevel="0" collapsed="false">
      <c r="B59" s="214"/>
      <c r="C59" s="214"/>
      <c r="D59" s="214"/>
      <c r="E59" s="214"/>
      <c r="F59" s="214"/>
      <c r="G59" s="255" t="s">
        <v>357</v>
      </c>
      <c r="H59" s="255"/>
      <c r="I59" s="255"/>
      <c r="J59" s="214"/>
    </row>
    <row r="60" customFormat="false" ht="11.1" hidden="false" customHeight="true" outlineLevel="0" collapsed="false">
      <c r="B60" s="214"/>
      <c r="C60" s="214"/>
      <c r="D60" s="214"/>
      <c r="E60" s="214"/>
      <c r="F60" s="214"/>
      <c r="G60" s="259"/>
      <c r="H60" s="259"/>
      <c r="I60" s="257"/>
      <c r="J60" s="214"/>
    </row>
    <row r="61" customFormat="false" ht="11.1" hidden="false" customHeight="true" outlineLevel="0" collapsed="false">
      <c r="B61" s="214"/>
      <c r="C61" s="214"/>
      <c r="D61" s="254"/>
      <c r="E61" s="254"/>
      <c r="F61" s="260" t="s">
        <v>17</v>
      </c>
      <c r="G61" s="260"/>
      <c r="H61" s="260"/>
      <c r="I61" s="260"/>
      <c r="J61" s="260"/>
    </row>
    <row r="62" customFormat="false" ht="11.1" hidden="false" customHeight="true" outlineLevel="0" collapsed="false">
      <c r="B62" s="214"/>
      <c r="C62" s="214"/>
      <c r="D62" s="254"/>
      <c r="E62" s="254"/>
      <c r="F62" s="254"/>
      <c r="G62" s="255" t="s">
        <v>89</v>
      </c>
      <c r="H62" s="255"/>
      <c r="I62" s="255"/>
      <c r="J62" s="254"/>
    </row>
    <row r="63" customFormat="false" ht="11.1" hidden="false" customHeight="true" outlineLevel="0" collapsed="false">
      <c r="B63" s="214"/>
      <c r="C63" s="214"/>
      <c r="D63" s="248"/>
      <c r="E63" s="248"/>
      <c r="F63" s="248"/>
      <c r="G63" s="214"/>
      <c r="H63" s="214"/>
    </row>
    <row r="64" customFormat="false" ht="11.1" hidden="false" customHeight="true" outlineLevel="0" collapsed="false">
      <c r="B64" s="214"/>
      <c r="C64" s="214"/>
      <c r="D64" s="248"/>
      <c r="E64" s="248"/>
      <c r="F64" s="248"/>
      <c r="G64" s="214"/>
      <c r="H64" s="214"/>
    </row>
    <row r="65" customFormat="false" ht="11.1" hidden="false" customHeight="true" outlineLevel="0" collapsed="false">
      <c r="C65" s="259"/>
      <c r="D65" s="255" t="s">
        <v>358</v>
      </c>
      <c r="E65" s="255"/>
      <c r="F65" s="255"/>
      <c r="G65" s="259"/>
      <c r="H65" s="259"/>
      <c r="I65" s="255" t="s">
        <v>359</v>
      </c>
      <c r="J65" s="255"/>
      <c r="K65" s="255"/>
    </row>
    <row r="66" customFormat="false" ht="11.1" hidden="false" customHeight="true" outlineLevel="0" collapsed="false">
      <c r="C66" s="259"/>
      <c r="D66" s="261"/>
      <c r="E66" s="261"/>
      <c r="F66" s="261"/>
      <c r="G66" s="259"/>
      <c r="H66" s="259"/>
      <c r="I66" s="261"/>
      <c r="J66" s="261"/>
      <c r="K66" s="259"/>
    </row>
    <row r="67" customFormat="false" ht="11.1" hidden="false" customHeight="true" outlineLevel="0" collapsed="false">
      <c r="C67" s="255" t="s">
        <v>19</v>
      </c>
      <c r="D67" s="255"/>
      <c r="E67" s="255"/>
      <c r="F67" s="255"/>
      <c r="G67" s="255"/>
      <c r="H67" s="259"/>
      <c r="I67" s="260" t="s">
        <v>22</v>
      </c>
      <c r="J67" s="260"/>
      <c r="K67" s="260"/>
    </row>
    <row r="68" customFormat="false" ht="11.1" hidden="false" customHeight="true" outlineLevel="0" collapsed="false">
      <c r="C68" s="255" t="s">
        <v>360</v>
      </c>
      <c r="D68" s="255"/>
      <c r="E68" s="255"/>
      <c r="F68" s="255"/>
      <c r="G68" s="255"/>
      <c r="H68" s="259"/>
      <c r="I68" s="255" t="s">
        <v>90</v>
      </c>
      <c r="J68" s="255"/>
      <c r="K68" s="255"/>
    </row>
    <row r="69" customFormat="false" ht="11.1" hidden="false" customHeight="true" outlineLevel="0" collapsed="false"/>
    <row r="70" customFormat="false" ht="11.1" hidden="false" customHeight="true" outlineLevel="0" collapsed="false"/>
    <row r="71" customFormat="false" ht="11.1" hidden="false" customHeight="true" outlineLevel="0" collapsed="false">
      <c r="A71" s="262" t="s">
        <v>361</v>
      </c>
      <c r="B71" s="262"/>
      <c r="C71" s="262"/>
      <c r="D71" s="262"/>
      <c r="E71" s="262"/>
      <c r="F71" s="262"/>
      <c r="G71" s="262"/>
      <c r="H71" s="262"/>
      <c r="I71" s="262"/>
      <c r="J71" s="262"/>
      <c r="K71" s="262"/>
      <c r="L71" s="262"/>
    </row>
    <row r="72" customFormat="false" ht="11.1" hidden="false" customHeight="true" outlineLevel="0" collapsed="false">
      <c r="F72" s="214" t="s">
        <v>307</v>
      </c>
    </row>
    <row r="73" customFormat="false" ht="11.1" hidden="false" customHeight="true" outlineLevel="0" collapsed="false"/>
    <row r="74" customFormat="false" ht="11.1" hidden="false" customHeight="true" outlineLevel="0" collapsed="false"/>
    <row r="75" customFormat="false" ht="11.1" hidden="false" customHeight="true" outlineLevel="0" collapsed="false">
      <c r="B75" s="214" t="s">
        <v>362</v>
      </c>
      <c r="C75" s="214"/>
      <c r="D75" s="214"/>
      <c r="E75" s="214"/>
      <c r="F75" s="214"/>
      <c r="G75" s="214"/>
      <c r="H75" s="214"/>
      <c r="I75" s="214"/>
      <c r="J75" s="214"/>
      <c r="K75" s="251"/>
    </row>
    <row r="76" customFormat="false" ht="11.1" hidden="false" customHeight="true" outlineLevel="0" collapsed="false">
      <c r="B76" s="214" t="s">
        <v>363</v>
      </c>
      <c r="C76" s="214"/>
      <c r="D76" s="214"/>
      <c r="E76" s="214"/>
      <c r="F76" s="214"/>
      <c r="G76" s="214"/>
      <c r="I76" s="263" t="s">
        <v>59</v>
      </c>
      <c r="J76" s="263" t="str">
        <f aca="false">E57</f>
        <v>MARZO 2026</v>
      </c>
      <c r="K76" s="263"/>
    </row>
    <row r="77" customFormat="false" ht="11.1" hidden="false" customHeight="true" outlineLevel="0" collapsed="false">
      <c r="B77" s="214"/>
      <c r="C77" s="214"/>
      <c r="D77" s="214"/>
      <c r="E77" s="214"/>
      <c r="F77" s="214"/>
      <c r="G77" s="214"/>
      <c r="H77" s="214"/>
      <c r="I77" s="214"/>
      <c r="J77" s="214"/>
    </row>
    <row r="78" customFormat="false" ht="11.1" hidden="false" customHeight="true" outlineLevel="0" collapsed="false">
      <c r="B78" s="214"/>
      <c r="C78" s="214"/>
      <c r="D78" s="264" t="s">
        <v>364</v>
      </c>
      <c r="E78" s="265"/>
      <c r="F78" s="266"/>
      <c r="G78" s="214"/>
      <c r="H78" s="214"/>
      <c r="I78" s="214"/>
      <c r="J78" s="214"/>
    </row>
    <row r="79" customFormat="false" ht="11.1" hidden="false" customHeight="true" outlineLevel="0" collapsed="false">
      <c r="B79" s="214"/>
      <c r="C79" s="214"/>
      <c r="D79" s="214"/>
      <c r="E79" s="214"/>
      <c r="F79" s="214"/>
      <c r="G79" s="214"/>
      <c r="H79" s="214"/>
      <c r="I79" s="214"/>
      <c r="J79" s="214"/>
    </row>
    <row r="80" customFormat="false" ht="11.1" hidden="false" customHeight="true" outlineLevel="0" collapsed="false">
      <c r="B80" s="214"/>
      <c r="C80" s="214"/>
      <c r="D80" s="214"/>
      <c r="E80" s="214"/>
      <c r="F80" s="214"/>
      <c r="G80" s="214"/>
      <c r="H80" s="214"/>
      <c r="I80" s="254"/>
      <c r="J80" s="254"/>
      <c r="K80" s="37"/>
    </row>
    <row r="81" customFormat="false" ht="11.1" hidden="false" customHeight="true" outlineLevel="0" collapsed="false">
      <c r="B81" s="214"/>
      <c r="C81" s="220" t="s">
        <v>365</v>
      </c>
      <c r="D81" s="214"/>
      <c r="F81" s="214"/>
      <c r="G81" s="214"/>
      <c r="I81" s="254"/>
      <c r="J81" s="254"/>
      <c r="K81" s="37"/>
    </row>
    <row r="82" customFormat="false" ht="11.1" hidden="false" customHeight="true" outlineLevel="0" collapsed="false">
      <c r="B82" s="267"/>
      <c r="C82" s="267"/>
      <c r="D82" s="267"/>
      <c r="E82" s="267"/>
      <c r="F82" s="267"/>
      <c r="G82" s="214"/>
      <c r="I82" s="254"/>
      <c r="J82" s="254"/>
      <c r="K82" s="37"/>
    </row>
    <row r="83" customFormat="false" ht="11.1" hidden="false" customHeight="true" outlineLevel="0" collapsed="false">
      <c r="A83" s="252" t="n">
        <v>1</v>
      </c>
      <c r="B83" s="252" t="s">
        <v>366</v>
      </c>
      <c r="C83" s="268"/>
      <c r="D83" s="268"/>
      <c r="E83" s="268"/>
      <c r="F83" s="269" t="s">
        <v>367</v>
      </c>
      <c r="G83" s="269"/>
      <c r="I83" s="254"/>
      <c r="J83" s="254"/>
      <c r="K83" s="37"/>
    </row>
    <row r="84" customFormat="false" ht="11.1" hidden="false" customHeight="true" outlineLevel="0" collapsed="false">
      <c r="A84" s="252" t="n">
        <v>2</v>
      </c>
      <c r="B84" s="252" t="s">
        <v>22</v>
      </c>
      <c r="C84" s="268"/>
      <c r="D84" s="268"/>
      <c r="E84" s="268"/>
      <c r="F84" s="214" t="s">
        <v>368</v>
      </c>
      <c r="G84" s="214"/>
      <c r="I84" s="254"/>
      <c r="J84" s="254"/>
      <c r="K84" s="37"/>
    </row>
    <row r="85" customFormat="false" ht="11.1" hidden="false" customHeight="true" outlineLevel="0" collapsed="false">
      <c r="A85" s="252" t="n">
        <v>3</v>
      </c>
      <c r="B85" s="252" t="s">
        <v>25</v>
      </c>
      <c r="C85" s="268"/>
      <c r="D85" s="268"/>
      <c r="E85" s="268"/>
      <c r="F85" s="214" t="s">
        <v>369</v>
      </c>
      <c r="G85" s="214"/>
      <c r="I85" s="254"/>
      <c r="J85" s="254"/>
      <c r="K85" s="37"/>
    </row>
    <row r="86" customFormat="false" ht="11.1" hidden="false" customHeight="true" outlineLevel="0" collapsed="false">
      <c r="A86" s="252" t="n">
        <v>4</v>
      </c>
      <c r="B86" s="252" t="s">
        <v>370</v>
      </c>
      <c r="C86" s="268"/>
      <c r="D86" s="268"/>
      <c r="E86" s="268"/>
      <c r="F86" s="252" t="s">
        <v>371</v>
      </c>
      <c r="I86" s="254"/>
      <c r="J86" s="254"/>
      <c r="K86" s="37"/>
    </row>
    <row r="87" customFormat="false" ht="11.1" hidden="false" customHeight="true" outlineLevel="0" collapsed="false">
      <c r="A87" s="252" t="n">
        <v>5</v>
      </c>
      <c r="B87" s="252" t="s">
        <v>17</v>
      </c>
      <c r="C87" s="268"/>
      <c r="D87" s="268"/>
      <c r="E87" s="268"/>
      <c r="F87" s="268" t="s">
        <v>372</v>
      </c>
      <c r="G87" s="214"/>
      <c r="I87" s="254"/>
      <c r="J87" s="254"/>
      <c r="K87" s="267" t="s">
        <v>21</v>
      </c>
    </row>
    <row r="88" customFormat="false" ht="11.1" hidden="false" customHeight="true" outlineLevel="0" collapsed="false">
      <c r="A88" s="252" t="n">
        <v>6</v>
      </c>
      <c r="B88" s="252" t="s">
        <v>373</v>
      </c>
      <c r="C88" s="268"/>
      <c r="D88" s="268"/>
      <c r="E88" s="268"/>
      <c r="F88" s="268" t="s">
        <v>374</v>
      </c>
      <c r="G88" s="214"/>
      <c r="I88" s="254"/>
      <c r="J88" s="254"/>
      <c r="K88" s="37"/>
    </row>
    <row r="89" customFormat="false" ht="11.1" hidden="false" customHeight="true" outlineLevel="0" collapsed="false">
      <c r="B89" s="270"/>
      <c r="C89" s="270"/>
      <c r="D89" s="270"/>
      <c r="E89" s="270"/>
      <c r="F89" s="270"/>
      <c r="G89" s="214"/>
      <c r="H89" s="252"/>
      <c r="I89" s="254"/>
      <c r="J89" s="254"/>
      <c r="K89" s="37"/>
    </row>
    <row r="90" customFormat="false" ht="11.1" hidden="false" customHeight="true" outlineLevel="0" collapsed="false">
      <c r="B90" s="251"/>
      <c r="C90" s="271" t="s">
        <v>375</v>
      </c>
      <c r="D90" s="251"/>
      <c r="E90" s="251"/>
      <c r="F90" s="251"/>
      <c r="G90" s="214"/>
      <c r="H90" s="214"/>
      <c r="I90" s="254"/>
      <c r="J90" s="254" t="s">
        <v>21</v>
      </c>
      <c r="K90" s="254" t="s">
        <v>21</v>
      </c>
    </row>
    <row r="91" customFormat="false" ht="11.1" hidden="false" customHeight="true" outlineLevel="0" collapsed="false">
      <c r="A91" s="252" t="n">
        <v>1</v>
      </c>
      <c r="B91" s="272" t="s">
        <v>376</v>
      </c>
      <c r="C91" s="251"/>
      <c r="D91" s="273"/>
      <c r="E91" s="251"/>
      <c r="F91" s="251"/>
      <c r="G91" s="214"/>
      <c r="H91" s="214"/>
      <c r="I91" s="254"/>
      <c r="J91" s="254" t="s">
        <v>21</v>
      </c>
      <c r="K91" s="254" t="s">
        <v>21</v>
      </c>
    </row>
    <row r="92" customFormat="false" ht="11.1" hidden="false" customHeight="true" outlineLevel="0" collapsed="false">
      <c r="A92" s="252" t="n">
        <v>2</v>
      </c>
      <c r="B92" s="272" t="s">
        <v>377</v>
      </c>
      <c r="C92" s="252"/>
      <c r="D92" s="274"/>
      <c r="E92" s="252"/>
      <c r="F92" s="252"/>
      <c r="G92" s="214"/>
      <c r="H92" s="214"/>
      <c r="I92" s="254"/>
      <c r="J92" s="254"/>
      <c r="K92" s="37"/>
    </row>
    <row r="93" customFormat="false" ht="11.1" hidden="false" customHeight="true" outlineLevel="0" collapsed="false">
      <c r="A93" s="252" t="n">
        <v>3</v>
      </c>
      <c r="B93" s="272" t="s">
        <v>378</v>
      </c>
      <c r="D93" s="274"/>
      <c r="E93" s="252"/>
      <c r="F93" s="252"/>
      <c r="G93" s="214"/>
      <c r="H93" s="214"/>
      <c r="I93" s="254"/>
      <c r="J93" s="254"/>
      <c r="K93" s="37"/>
    </row>
    <row r="94" customFormat="false" ht="11.1" hidden="false" customHeight="true" outlineLevel="0" collapsed="false">
      <c r="A94" s="252" t="n">
        <v>4</v>
      </c>
      <c r="B94" s="272" t="s">
        <v>379</v>
      </c>
      <c r="C94" s="252"/>
      <c r="D94" s="274"/>
      <c r="E94" s="252"/>
      <c r="F94" s="252"/>
      <c r="G94" s="214"/>
      <c r="H94" s="214"/>
      <c r="I94" s="254"/>
      <c r="J94" s="254"/>
      <c r="K94" s="37"/>
    </row>
    <row r="95" customFormat="false" ht="11.1" hidden="false" customHeight="true" outlineLevel="0" collapsed="false">
      <c r="A95" s="252" t="n">
        <v>5</v>
      </c>
      <c r="B95" s="272" t="s">
        <v>31</v>
      </c>
      <c r="C95" s="252"/>
      <c r="D95" s="274"/>
      <c r="E95" s="252"/>
      <c r="F95" s="252"/>
      <c r="G95" s="214"/>
      <c r="H95" s="214"/>
      <c r="I95" s="254"/>
      <c r="J95" s="254"/>
      <c r="K95" s="37"/>
    </row>
    <row r="96" customFormat="false" ht="11.1" hidden="false" customHeight="true" outlineLevel="0" collapsed="false">
      <c r="A96" s="252" t="n">
        <v>6</v>
      </c>
      <c r="B96" s="272" t="s">
        <v>380</v>
      </c>
      <c r="C96" s="252"/>
      <c r="D96" s="274"/>
      <c r="E96" s="252"/>
      <c r="F96" s="252"/>
      <c r="G96" s="214"/>
      <c r="H96" s="214"/>
      <c r="I96" s="254"/>
      <c r="J96" s="254"/>
      <c r="K96" s="37"/>
    </row>
    <row r="97" customFormat="false" ht="11.1" hidden="false" customHeight="true" outlineLevel="0" collapsed="false">
      <c r="B97" s="252"/>
      <c r="C97" s="252"/>
      <c r="D97" s="252"/>
      <c r="E97" s="252"/>
      <c r="F97" s="252"/>
      <c r="G97" s="214"/>
      <c r="H97" s="214"/>
      <c r="I97" s="254"/>
      <c r="J97" s="254"/>
      <c r="K97" s="37"/>
    </row>
    <row r="98" customFormat="false" ht="11.1" hidden="false" customHeight="true" outlineLevel="0" collapsed="false">
      <c r="B98" s="252"/>
      <c r="C98" s="271" t="s">
        <v>381</v>
      </c>
      <c r="D98" s="252"/>
      <c r="E98" s="252"/>
      <c r="F98" s="252"/>
      <c r="G98" s="214"/>
      <c r="H98" s="214"/>
      <c r="I98" s="254"/>
      <c r="J98" s="254"/>
      <c r="K98" s="37"/>
    </row>
    <row r="99" customFormat="false" ht="11.1" hidden="false" customHeight="true" outlineLevel="0" collapsed="false">
      <c r="A99" s="252" t="n">
        <v>1</v>
      </c>
      <c r="B99" s="252" t="s">
        <v>382</v>
      </c>
      <c r="C99" s="252"/>
      <c r="D99" s="252"/>
      <c r="E99" s="252"/>
      <c r="F99" s="252"/>
      <c r="G99" s="214" t="s">
        <v>21</v>
      </c>
      <c r="H99" s="214"/>
      <c r="I99" s="254"/>
      <c r="J99" s="254"/>
      <c r="K99" s="37"/>
    </row>
    <row r="100" customFormat="false" ht="11.1" hidden="false" customHeight="true" outlineLevel="0" collapsed="false">
      <c r="A100" s="252" t="n">
        <v>2</v>
      </c>
      <c r="B100" s="252" t="s">
        <v>383</v>
      </c>
      <c r="C100" s="252"/>
      <c r="D100" s="252"/>
      <c r="E100" s="252"/>
      <c r="F100" s="252"/>
      <c r="G100" s="214"/>
      <c r="H100" s="214"/>
      <c r="I100" s="254"/>
      <c r="J100" s="254"/>
      <c r="K100" s="37"/>
    </row>
    <row r="101" customFormat="false" ht="11.1" hidden="false" customHeight="true" outlineLevel="0" collapsed="false">
      <c r="A101" s="252" t="n">
        <v>3</v>
      </c>
      <c r="B101" s="252" t="s">
        <v>384</v>
      </c>
      <c r="C101" s="252"/>
      <c r="D101" s="252"/>
      <c r="E101" s="252"/>
      <c r="F101" s="252"/>
      <c r="G101" s="214"/>
      <c r="H101" s="214"/>
      <c r="I101" s="254"/>
      <c r="J101" s="254"/>
      <c r="K101" s="37"/>
    </row>
    <row r="102" customFormat="false" ht="11.1" hidden="false" customHeight="true" outlineLevel="0" collapsed="false">
      <c r="A102" s="252" t="n">
        <v>4</v>
      </c>
      <c r="B102" s="252" t="s">
        <v>385</v>
      </c>
      <c r="C102" s="252"/>
      <c r="D102" s="252"/>
      <c r="E102" s="252"/>
      <c r="F102" s="252"/>
      <c r="G102" s="214"/>
      <c r="H102" s="214"/>
      <c r="I102" s="254"/>
      <c r="J102" s="254"/>
      <c r="K102" s="37"/>
    </row>
    <row r="103" customFormat="false" ht="11.1" hidden="false" customHeight="true" outlineLevel="0" collapsed="false">
      <c r="A103" s="252" t="n">
        <v>5</v>
      </c>
      <c r="B103" s="252" t="s">
        <v>386</v>
      </c>
      <c r="C103" s="252"/>
      <c r="D103" s="252"/>
      <c r="F103" s="252"/>
      <c r="G103" s="214"/>
      <c r="H103" s="214"/>
      <c r="I103" s="254"/>
      <c r="J103" s="254"/>
      <c r="K103" s="37"/>
    </row>
    <row r="104" customFormat="false" ht="11.1" hidden="false" customHeight="true" outlineLevel="0" collapsed="false">
      <c r="A104" s="252" t="n">
        <v>6</v>
      </c>
      <c r="B104" s="252"/>
      <c r="C104" s="214"/>
      <c r="D104" s="214"/>
      <c r="E104" s="214"/>
      <c r="F104" s="214"/>
      <c r="G104" s="214"/>
      <c r="H104" s="214"/>
      <c r="I104" s="254"/>
      <c r="J104" s="254"/>
      <c r="K104" s="37"/>
    </row>
    <row r="105" customFormat="false" ht="11.1" hidden="false" customHeight="true" outlineLevel="0" collapsed="false">
      <c r="B105" s="275"/>
      <c r="C105" s="275"/>
      <c r="D105" s="275"/>
      <c r="F105" s="275"/>
      <c r="G105" s="254"/>
      <c r="H105" s="254"/>
      <c r="I105" s="254"/>
      <c r="J105" s="254"/>
      <c r="K105" s="37"/>
    </row>
    <row r="106" customFormat="false" ht="11.1" hidden="false" customHeight="true" outlineLevel="0" collapsed="false">
      <c r="B106" s="254"/>
      <c r="C106" s="254"/>
      <c r="D106" s="254"/>
      <c r="E106" s="254"/>
      <c r="F106" s="254"/>
      <c r="G106" s="254"/>
      <c r="H106" s="254"/>
      <c r="I106" s="254"/>
      <c r="J106" s="254"/>
      <c r="K106" s="37"/>
    </row>
    <row r="107" customFormat="false" ht="11.1" hidden="false" customHeight="true" outlineLevel="0" collapsed="false">
      <c r="B107" s="254"/>
      <c r="C107" s="254"/>
      <c r="D107" s="254"/>
      <c r="E107" s="276" t="s">
        <v>387</v>
      </c>
      <c r="F107" s="254"/>
      <c r="G107" s="254"/>
      <c r="H107" s="254"/>
      <c r="I107" s="254"/>
      <c r="J107" s="254"/>
      <c r="K107" s="37"/>
    </row>
    <row r="108" customFormat="false" ht="11.1" hidden="false" customHeight="true" outlineLevel="0" collapsed="false">
      <c r="B108" s="254"/>
      <c r="C108" s="254"/>
      <c r="D108" s="254"/>
      <c r="E108" s="254"/>
      <c r="F108" s="254"/>
      <c r="G108" s="254"/>
      <c r="H108" s="254"/>
      <c r="I108" s="254"/>
      <c r="J108" s="254"/>
      <c r="K108" s="37"/>
    </row>
    <row r="109" customFormat="false" ht="11.1" hidden="false" customHeight="true" outlineLevel="0" collapsed="false">
      <c r="B109" s="254"/>
      <c r="C109" s="254"/>
      <c r="D109" s="254"/>
      <c r="E109" s="254"/>
      <c r="F109" s="254"/>
      <c r="G109" s="254"/>
      <c r="H109" s="254"/>
      <c r="I109" s="254"/>
      <c r="J109" s="254"/>
      <c r="K109" s="37"/>
    </row>
    <row r="110" customFormat="false" ht="11.1" hidden="false" customHeight="true" outlineLevel="0" collapsed="false">
      <c r="B110" s="214"/>
      <c r="C110" s="214"/>
      <c r="D110" s="254"/>
      <c r="E110" s="254"/>
      <c r="F110" s="254"/>
      <c r="G110" s="254"/>
      <c r="H110" s="254"/>
      <c r="I110" s="254"/>
      <c r="J110" s="254"/>
    </row>
    <row r="111" customFormat="false" ht="11.1" hidden="false" customHeight="true" outlineLevel="0" collapsed="false">
      <c r="B111" s="277" t="s">
        <v>388</v>
      </c>
      <c r="C111" s="277"/>
      <c r="D111" s="277"/>
      <c r="E111" s="277"/>
      <c r="F111" s="277"/>
      <c r="G111" s="277"/>
      <c r="H111" s="277"/>
      <c r="I111" s="277"/>
      <c r="J111" s="277"/>
      <c r="K111" s="277"/>
    </row>
    <row r="112" customFormat="false" ht="11.1" hidden="false" customHeight="true" outlineLevel="0" collapsed="false">
      <c r="B112" s="214"/>
      <c r="C112" s="214"/>
      <c r="D112" s="254"/>
      <c r="E112" s="254"/>
      <c r="F112" s="254"/>
      <c r="G112" s="254"/>
      <c r="H112" s="254"/>
      <c r="I112" s="254"/>
      <c r="J112" s="254"/>
    </row>
    <row r="113" customFormat="false" ht="11.1" hidden="false" customHeight="true" outlineLevel="0" collapsed="false">
      <c r="B113" s="278" t="s">
        <v>389</v>
      </c>
      <c r="C113" s="278"/>
      <c r="D113" s="278"/>
      <c r="E113" s="278"/>
      <c r="F113" s="279" t="s">
        <v>390</v>
      </c>
      <c r="G113" s="280" t="s">
        <v>59</v>
      </c>
      <c r="H113" s="280"/>
      <c r="I113" s="281" t="s">
        <v>391</v>
      </c>
      <c r="J113" s="282" t="s">
        <v>392</v>
      </c>
      <c r="K113" s="283"/>
      <c r="L113" s="284"/>
    </row>
    <row r="114" customFormat="false" ht="11.1" hidden="false" customHeight="true" outlineLevel="0" collapsed="false">
      <c r="B114" s="285" t="s">
        <v>393</v>
      </c>
      <c r="C114" s="285"/>
      <c r="D114" s="285"/>
      <c r="E114" s="285"/>
      <c r="F114" s="286" t="s">
        <v>394</v>
      </c>
      <c r="G114" s="287" t="n">
        <v>46083</v>
      </c>
      <c r="H114" s="287"/>
      <c r="I114" s="288" t="s">
        <v>395</v>
      </c>
      <c r="J114" s="289" t="s">
        <v>396</v>
      </c>
      <c r="K114" s="289"/>
      <c r="L114" s="37"/>
    </row>
    <row r="115" customFormat="false" ht="11.1" hidden="false" customHeight="true" outlineLevel="0" collapsed="false">
      <c r="B115" s="290"/>
      <c r="C115" s="290"/>
      <c r="D115" s="290"/>
      <c r="E115" s="290"/>
      <c r="F115" s="291"/>
      <c r="G115" s="292"/>
      <c r="H115" s="292"/>
      <c r="I115" s="288"/>
      <c r="J115" s="293" t="s">
        <v>21</v>
      </c>
      <c r="K115" s="293"/>
    </row>
    <row r="116" customFormat="false" ht="11.1" hidden="false" customHeight="true" outlineLevel="0" collapsed="false">
      <c r="B116" s="294"/>
      <c r="C116" s="294"/>
      <c r="D116" s="294"/>
      <c r="E116" s="294"/>
      <c r="F116" s="295"/>
      <c r="G116" s="296"/>
      <c r="H116" s="296"/>
      <c r="I116" s="297"/>
      <c r="J116" s="298"/>
      <c r="K116" s="298"/>
    </row>
    <row r="117" customFormat="false" ht="11.1" hidden="false" customHeight="true" outlineLevel="0" collapsed="false">
      <c r="B117" s="294"/>
      <c r="C117" s="294"/>
      <c r="D117" s="294"/>
      <c r="E117" s="294"/>
      <c r="F117" s="295"/>
      <c r="G117" s="296"/>
      <c r="H117" s="296"/>
      <c r="I117" s="297"/>
      <c r="J117" s="298"/>
      <c r="K117" s="298"/>
    </row>
    <row r="118" customFormat="false" ht="11.1" hidden="false" customHeight="true" outlineLevel="0" collapsed="false">
      <c r="B118" s="299"/>
      <c r="C118" s="299"/>
      <c r="D118" s="299"/>
      <c r="E118" s="299"/>
      <c r="F118" s="300"/>
      <c r="G118" s="301"/>
      <c r="H118" s="302"/>
      <c r="I118" s="303"/>
      <c r="J118" s="304"/>
      <c r="K118" s="304"/>
    </row>
    <row r="119" customFormat="false" ht="11.1" hidden="false" customHeight="true" outlineLevel="0" collapsed="false">
      <c r="B119" s="305"/>
      <c r="C119" s="305"/>
      <c r="D119" s="305"/>
      <c r="E119" s="255"/>
      <c r="F119" s="306"/>
      <c r="G119" s="306"/>
      <c r="H119" s="255"/>
      <c r="I119" s="307"/>
      <c r="J119" s="307"/>
      <c r="K119" s="307"/>
    </row>
    <row r="120" customFormat="false" ht="11.1" hidden="false" customHeight="true" outlineLevel="0" collapsed="false">
      <c r="B120" s="305"/>
      <c r="C120" s="305"/>
      <c r="D120" s="305"/>
      <c r="E120" s="255"/>
      <c r="F120" s="306"/>
      <c r="G120" s="306"/>
      <c r="H120" s="255"/>
      <c r="I120" s="307"/>
      <c r="J120" s="307"/>
      <c r="K120" s="307"/>
    </row>
    <row r="121" customFormat="false" ht="11.1" hidden="false" customHeight="true" outlineLevel="0" collapsed="false">
      <c r="B121" s="305"/>
      <c r="C121" s="305"/>
      <c r="D121" s="305"/>
      <c r="E121" s="255"/>
      <c r="F121" s="306"/>
      <c r="G121" s="306"/>
      <c r="H121" s="255"/>
      <c r="I121" s="307"/>
      <c r="J121" s="307"/>
      <c r="K121" s="307"/>
    </row>
    <row r="122" customFormat="false" ht="11.1" hidden="false" customHeight="true" outlineLevel="0" collapsed="false">
      <c r="B122" s="305"/>
      <c r="C122" s="305"/>
      <c r="D122" s="305"/>
      <c r="E122" s="255"/>
      <c r="F122" s="306"/>
      <c r="G122" s="306"/>
      <c r="H122" s="255"/>
      <c r="I122" s="307"/>
      <c r="J122" s="307"/>
      <c r="K122" s="307"/>
    </row>
    <row r="123" customFormat="false" ht="11.1" hidden="false" customHeight="true" outlineLevel="0" collapsed="false">
      <c r="B123" s="305"/>
      <c r="C123" s="305"/>
      <c r="D123" s="305"/>
      <c r="E123" s="255"/>
      <c r="F123" s="306"/>
      <c r="G123" s="306"/>
      <c r="H123" s="255"/>
      <c r="I123" s="307"/>
      <c r="J123" s="307"/>
      <c r="K123" s="307"/>
    </row>
    <row r="124" customFormat="false" ht="11.1" hidden="false" customHeight="true" outlineLevel="0" collapsed="false">
      <c r="B124" s="308"/>
      <c r="C124" s="309"/>
      <c r="D124" s="309"/>
      <c r="E124" s="309"/>
      <c r="F124" s="309"/>
      <c r="G124" s="309"/>
      <c r="H124" s="309"/>
      <c r="I124" s="309"/>
      <c r="J124" s="309"/>
      <c r="K124" s="310"/>
    </row>
    <row r="125" customFormat="false" ht="11.1" hidden="false" customHeight="true" outlineLevel="0" collapsed="false">
      <c r="B125" s="308"/>
      <c r="C125" s="309"/>
      <c r="D125" s="309"/>
      <c r="E125" s="309"/>
      <c r="F125" s="309"/>
      <c r="G125" s="309"/>
      <c r="H125" s="309"/>
      <c r="I125" s="309"/>
      <c r="J125" s="309"/>
      <c r="K125" s="310"/>
    </row>
    <row r="126" customFormat="false" ht="11.1" hidden="false" customHeight="true" outlineLevel="0" collapsed="false">
      <c r="B126" s="311"/>
      <c r="C126" s="312"/>
      <c r="D126" s="312"/>
      <c r="E126" s="312"/>
      <c r="F126" s="312"/>
      <c r="G126" s="312"/>
      <c r="H126" s="312"/>
      <c r="I126" s="312"/>
      <c r="J126" s="312"/>
      <c r="K126" s="313"/>
    </row>
    <row r="127" customFormat="false" ht="15" hidden="false" customHeight="false" outlineLevel="0" collapsed="false">
      <c r="B127" s="259"/>
      <c r="C127" s="309"/>
      <c r="D127" s="309"/>
      <c r="E127" s="309"/>
      <c r="F127" s="309"/>
      <c r="G127" s="309"/>
      <c r="H127" s="309"/>
      <c r="I127" s="309"/>
      <c r="J127" s="309"/>
      <c r="K127" s="309"/>
    </row>
    <row r="135" customFormat="false" ht="15" hidden="false" customHeight="true" outlineLevel="0" collapsed="false">
      <c r="C135" s="212" t="s">
        <v>44</v>
      </c>
      <c r="D135" s="212"/>
      <c r="E135" s="212"/>
      <c r="F135" s="212"/>
      <c r="G135" s="212"/>
      <c r="H135" s="212"/>
      <c r="I135" s="212"/>
      <c r="J135" s="212"/>
    </row>
    <row r="136" customFormat="false" ht="15" hidden="false" customHeight="false" outlineLevel="0" collapsed="false">
      <c r="A136" s="213" t="s">
        <v>306</v>
      </c>
      <c r="B136" s="213"/>
      <c r="C136" s="213"/>
      <c r="D136" s="213"/>
      <c r="E136" s="213"/>
      <c r="F136" s="213"/>
      <c r="G136" s="213"/>
      <c r="H136" s="213"/>
      <c r="I136" s="213"/>
      <c r="J136" s="213"/>
      <c r="K136" s="213"/>
      <c r="L136" s="213"/>
    </row>
    <row r="137" customFormat="false" ht="15" hidden="false" customHeight="false" outlineLevel="0" collapsed="false">
      <c r="F137" s="214" t="s">
        <v>307</v>
      </c>
    </row>
    <row r="138" customFormat="false" ht="11.1" hidden="false" customHeight="true" outlineLevel="0" collapsed="false"/>
    <row r="139" customFormat="false" ht="15" hidden="false" customHeight="false" outlineLevel="0" collapsed="false">
      <c r="B139" s="215" t="s">
        <v>308</v>
      </c>
      <c r="D139" s="215" t="s">
        <v>309</v>
      </c>
    </row>
    <row r="140" customFormat="false" ht="11.1" hidden="false" customHeight="true" outlineLevel="0" collapsed="false">
      <c r="B140" s="216" t="s">
        <v>310</v>
      </c>
      <c r="C140" s="217" t="s">
        <v>301</v>
      </c>
      <c r="D140" s="217"/>
      <c r="E140" s="217"/>
    </row>
    <row r="141" customFormat="false" ht="11.1" hidden="false" customHeight="true" outlineLevel="0" collapsed="false">
      <c r="B141" s="214" t="s">
        <v>311</v>
      </c>
      <c r="J141" s="218" t="s">
        <v>312</v>
      </c>
    </row>
    <row r="142" customFormat="false" ht="11.1" hidden="false" customHeight="true" outlineLevel="0" collapsed="false">
      <c r="B142" s="219" t="s">
        <v>53</v>
      </c>
      <c r="F142" s="220"/>
      <c r="G142" s="220"/>
      <c r="H142" s="220"/>
      <c r="I142" s="221" t="s">
        <v>313</v>
      </c>
      <c r="J142" s="218"/>
    </row>
    <row r="143" customFormat="false" ht="11.1" hidden="false" customHeight="true" outlineLevel="0" collapsed="false">
      <c r="B143" s="219"/>
      <c r="F143" s="222" t="s">
        <v>314</v>
      </c>
      <c r="G143" s="222" t="s">
        <v>315</v>
      </c>
      <c r="H143" s="223" t="s">
        <v>316</v>
      </c>
      <c r="I143" s="221"/>
      <c r="J143" s="218"/>
    </row>
    <row r="144" customFormat="false" ht="11.1" hidden="false" customHeight="true" outlineLevel="0" collapsed="false"/>
    <row r="145" customFormat="false" ht="11.1" hidden="false" customHeight="true" outlineLevel="0" collapsed="false">
      <c r="B145" s="214" t="s">
        <v>317</v>
      </c>
      <c r="F145" s="224" t="n">
        <v>1</v>
      </c>
      <c r="G145" s="224" t="n">
        <v>18</v>
      </c>
      <c r="H145" s="225" t="n">
        <v>120</v>
      </c>
      <c r="I145" s="226" t="n">
        <f aca="false">F145*G145*H145</f>
        <v>2160</v>
      </c>
      <c r="J145" s="224"/>
    </row>
    <row r="146" customFormat="false" ht="11.1" hidden="false" customHeight="true" outlineLevel="0" collapsed="false">
      <c r="B146" s="220" t="s">
        <v>318</v>
      </c>
      <c r="F146" s="227"/>
      <c r="G146" s="227"/>
      <c r="H146" s="227" t="s">
        <v>21</v>
      </c>
      <c r="I146" s="227" t="s">
        <v>21</v>
      </c>
      <c r="J146" s="227"/>
    </row>
    <row r="147" customFormat="false" ht="11.1" hidden="false" customHeight="true" outlineLevel="0" collapsed="false">
      <c r="B147" s="214" t="s">
        <v>319</v>
      </c>
      <c r="F147" s="228" t="s">
        <v>21</v>
      </c>
      <c r="G147" s="229" t="n">
        <v>0</v>
      </c>
      <c r="H147" s="230" t="n">
        <v>250</v>
      </c>
      <c r="I147" s="231" t="e">
        <f aca="false">#REF!*H147</f>
        <v>#REF!</v>
      </c>
      <c r="J147" s="228"/>
    </row>
    <row r="148" customFormat="false" ht="11.1" hidden="false" customHeight="true" outlineLevel="0" collapsed="false">
      <c r="B148" s="214" t="s">
        <v>320</v>
      </c>
      <c r="F148" s="228"/>
      <c r="G148" s="229" t="n">
        <v>0</v>
      </c>
      <c r="H148" s="230" t="n">
        <v>250</v>
      </c>
      <c r="I148" s="231" t="n">
        <f aca="false">G148*H148</f>
        <v>0</v>
      </c>
      <c r="J148" s="228"/>
    </row>
    <row r="149" customFormat="false" ht="11.1" hidden="false" customHeight="true" outlineLevel="0" collapsed="false">
      <c r="B149" s="214" t="s">
        <v>321</v>
      </c>
      <c r="F149" s="228"/>
      <c r="G149" s="229" t="n">
        <v>0</v>
      </c>
      <c r="H149" s="230" t="n">
        <v>250</v>
      </c>
      <c r="I149" s="230" t="n">
        <f aca="false">G149*H149</f>
        <v>0</v>
      </c>
      <c r="J149" s="228"/>
    </row>
    <row r="150" customFormat="false" ht="11.1" hidden="false" customHeight="true" outlineLevel="0" collapsed="false">
      <c r="B150" s="214" t="s">
        <v>322</v>
      </c>
      <c r="F150" s="228"/>
      <c r="G150" s="229" t="n">
        <v>0</v>
      </c>
      <c r="H150" s="230" t="n">
        <v>250</v>
      </c>
      <c r="I150" s="231" t="n">
        <f aca="false">G150*H150</f>
        <v>0</v>
      </c>
      <c r="J150" s="228"/>
    </row>
    <row r="151" customFormat="false" ht="11.1" hidden="false" customHeight="true" outlineLevel="0" collapsed="false">
      <c r="B151" s="214" t="s">
        <v>323</v>
      </c>
      <c r="F151" s="228"/>
      <c r="G151" s="229" t="n">
        <v>0</v>
      </c>
      <c r="H151" s="230" t="n">
        <v>250</v>
      </c>
      <c r="I151" s="230" t="n">
        <f aca="false">G151*H151</f>
        <v>0</v>
      </c>
      <c r="J151" s="228"/>
    </row>
    <row r="152" customFormat="false" ht="11.1" hidden="false" customHeight="true" outlineLevel="0" collapsed="false">
      <c r="B152" s="214"/>
      <c r="F152" s="228"/>
      <c r="G152" s="229"/>
      <c r="H152" s="229"/>
      <c r="I152" s="229"/>
      <c r="J152" s="228"/>
    </row>
    <row r="153" customFormat="false" ht="11.1" hidden="false" customHeight="true" outlineLevel="0" collapsed="false">
      <c r="B153" s="220" t="s">
        <v>324</v>
      </c>
      <c r="C153" s="232"/>
      <c r="F153" s="228"/>
      <c r="G153" s="229"/>
      <c r="H153" s="233"/>
      <c r="I153" s="234"/>
      <c r="J153" s="228"/>
    </row>
    <row r="154" customFormat="false" ht="11.1" hidden="false" customHeight="true" outlineLevel="0" collapsed="false">
      <c r="B154" s="214"/>
      <c r="F154" s="228"/>
      <c r="G154" s="229"/>
      <c r="H154" s="229"/>
      <c r="I154" s="229"/>
      <c r="J154" s="228"/>
    </row>
    <row r="155" customFormat="false" ht="11.1" hidden="false" customHeight="true" outlineLevel="0" collapsed="false">
      <c r="B155" s="214" t="s">
        <v>325</v>
      </c>
      <c r="F155" s="228" t="n">
        <f aca="false">F145</f>
        <v>1</v>
      </c>
      <c r="G155" s="229" t="n">
        <f aca="false">G145</f>
        <v>18</v>
      </c>
      <c r="H155" s="235" t="n">
        <v>18</v>
      </c>
      <c r="I155" s="236" t="n">
        <f aca="false">F155*G155*H155</f>
        <v>324</v>
      </c>
      <c r="J155" s="228"/>
    </row>
    <row r="156" customFormat="false" ht="11.1" hidden="false" customHeight="true" outlineLevel="0" collapsed="false">
      <c r="B156" s="214" t="s">
        <v>326</v>
      </c>
      <c r="F156" s="228" t="n">
        <v>1</v>
      </c>
      <c r="G156" s="229" t="s">
        <v>327</v>
      </c>
      <c r="H156" s="237" t="n">
        <v>150</v>
      </c>
      <c r="I156" s="236" t="n">
        <f aca="false">F156*H156</f>
        <v>150</v>
      </c>
      <c r="J156" s="228"/>
    </row>
    <row r="157" customFormat="false" ht="11.1" hidden="false" customHeight="true" outlineLevel="0" collapsed="false">
      <c r="B157" s="214" t="s">
        <v>328</v>
      </c>
      <c r="F157" s="228" t="n">
        <v>1</v>
      </c>
      <c r="G157" s="229" t="s">
        <v>327</v>
      </c>
      <c r="H157" s="237" t="n">
        <v>70</v>
      </c>
      <c r="I157" s="236" t="n">
        <f aca="false">F157*H157</f>
        <v>70</v>
      </c>
      <c r="J157" s="228"/>
    </row>
    <row r="158" customFormat="false" ht="11.1" hidden="false" customHeight="true" outlineLevel="0" collapsed="false">
      <c r="B158" s="214" t="s">
        <v>329</v>
      </c>
      <c r="F158" s="228" t="n">
        <f aca="false">F145</f>
        <v>1</v>
      </c>
      <c r="G158" s="229" t="s">
        <v>327</v>
      </c>
      <c r="H158" s="237" t="n">
        <v>800</v>
      </c>
      <c r="I158" s="236" t="n">
        <f aca="false">F158*H158</f>
        <v>800</v>
      </c>
      <c r="J158" s="228"/>
    </row>
    <row r="159" customFormat="false" ht="11.1" hidden="false" customHeight="true" outlineLevel="0" collapsed="false">
      <c r="B159" s="214"/>
      <c r="F159" s="228"/>
      <c r="G159" s="228"/>
      <c r="H159" s="238"/>
      <c r="I159" s="238"/>
      <c r="J159" s="228"/>
    </row>
    <row r="160" customFormat="false" ht="11.1" hidden="false" customHeight="true" outlineLevel="0" collapsed="false">
      <c r="B160" s="214" t="s">
        <v>330</v>
      </c>
      <c r="F160" s="228" t="n">
        <v>0</v>
      </c>
      <c r="G160" s="228" t="s">
        <v>327</v>
      </c>
      <c r="H160" s="238" t="n">
        <v>500</v>
      </c>
      <c r="I160" s="236" t="n">
        <f aca="false">F160*H160</f>
        <v>0</v>
      </c>
      <c r="J160" s="228"/>
    </row>
    <row r="161" customFormat="false" ht="11.1" hidden="false" customHeight="true" outlineLevel="0" collapsed="false">
      <c r="B161" s="214"/>
      <c r="F161" s="228"/>
      <c r="G161" s="228"/>
      <c r="H161" s="238"/>
      <c r="I161" s="238"/>
      <c r="J161" s="228"/>
    </row>
    <row r="162" customFormat="false" ht="11.1" hidden="false" customHeight="true" outlineLevel="0" collapsed="false">
      <c r="B162" s="220" t="s">
        <v>331</v>
      </c>
      <c r="F162" s="228"/>
      <c r="G162" s="228"/>
      <c r="H162" s="238"/>
      <c r="I162" s="238"/>
      <c r="J162" s="228"/>
    </row>
    <row r="163" customFormat="false" ht="11.1" hidden="false" customHeight="true" outlineLevel="0" collapsed="false">
      <c r="B163" s="214"/>
      <c r="F163" s="228"/>
      <c r="G163" s="228"/>
      <c r="H163" s="238"/>
      <c r="I163" s="238"/>
      <c r="J163" s="228"/>
    </row>
    <row r="164" customFormat="false" ht="11.1" hidden="false" customHeight="true" outlineLevel="0" collapsed="false">
      <c r="B164" s="214" t="s">
        <v>332</v>
      </c>
      <c r="F164" s="228"/>
      <c r="G164" s="228" t="n">
        <v>0</v>
      </c>
      <c r="H164" s="239" t="n">
        <v>150</v>
      </c>
      <c r="I164" s="238"/>
      <c r="J164" s="240" t="n">
        <f aca="false">G164*H164</f>
        <v>0</v>
      </c>
    </row>
    <row r="165" customFormat="false" ht="11.1" hidden="false" customHeight="true" outlineLevel="0" collapsed="false">
      <c r="B165" s="214" t="s">
        <v>333</v>
      </c>
      <c r="F165" s="228" t="n">
        <v>1</v>
      </c>
      <c r="G165" s="228" t="n">
        <f aca="false">G145</f>
        <v>18</v>
      </c>
      <c r="H165" s="239" t="n">
        <v>10</v>
      </c>
      <c r="I165" s="238"/>
      <c r="J165" s="240" t="n">
        <f aca="false">F165*G165*H165</f>
        <v>180</v>
      </c>
    </row>
    <row r="166" customFormat="false" ht="11.1" hidden="false" customHeight="true" outlineLevel="0" collapsed="false">
      <c r="B166" s="214" t="s">
        <v>334</v>
      </c>
      <c r="C166" s="241"/>
      <c r="D166" s="242" t="s">
        <v>335</v>
      </c>
      <c r="E166" s="243" t="s">
        <v>21</v>
      </c>
      <c r="F166" s="244" t="n">
        <v>0</v>
      </c>
      <c r="G166" s="244" t="n">
        <f aca="false">G145</f>
        <v>18</v>
      </c>
      <c r="H166" s="245" t="n">
        <v>50</v>
      </c>
      <c r="I166" s="246"/>
      <c r="J166" s="247" t="n">
        <f aca="false">F166*G166*H166</f>
        <v>0</v>
      </c>
    </row>
    <row r="167" customFormat="false" ht="11.1" hidden="false" customHeight="true" outlineLevel="0" collapsed="false">
      <c r="F167" s="248"/>
      <c r="G167" s="248"/>
      <c r="H167" s="249" t="s">
        <v>336</v>
      </c>
      <c r="I167" s="250" t="e">
        <f aca="false">SUM(I145:I166)</f>
        <v>#REF!</v>
      </c>
      <c r="J167" s="250" t="n">
        <f aca="false">SUM(J145:J166)</f>
        <v>180</v>
      </c>
    </row>
    <row r="168" customFormat="false" ht="11.1" hidden="false" customHeight="true" outlineLevel="0" collapsed="false">
      <c r="H168" s="249" t="s">
        <v>58</v>
      </c>
      <c r="I168" s="250" t="e">
        <f aca="false">I167+J167</f>
        <v>#REF!</v>
      </c>
      <c r="J168" s="250"/>
    </row>
    <row r="169" customFormat="false" ht="11.1" hidden="false" customHeight="true" outlineLevel="0" collapsed="false"/>
    <row r="170" customFormat="false" ht="11.1" hidden="false" customHeight="true" outlineLevel="0" collapsed="false">
      <c r="C170" s="220" t="s">
        <v>285</v>
      </c>
      <c r="E170" s="251"/>
      <c r="G170" s="220" t="s">
        <v>337</v>
      </c>
      <c r="H170" s="214"/>
      <c r="I170" s="214"/>
      <c r="J170" s="220" t="s">
        <v>338</v>
      </c>
    </row>
    <row r="171" customFormat="false" ht="11.1" hidden="false" customHeight="true" outlineLevel="0" collapsed="false">
      <c r="C171" s="251"/>
      <c r="D171" s="251"/>
      <c r="E171" s="251"/>
    </row>
    <row r="172" customFormat="false" ht="11.1" hidden="false" customHeight="true" outlineLevel="0" collapsed="false">
      <c r="C172" s="9" t="n">
        <v>6</v>
      </c>
      <c r="D172" s="214" t="s">
        <v>339</v>
      </c>
      <c r="E172" s="214"/>
      <c r="F172" s="214"/>
      <c r="G172" s="9" t="n">
        <v>0</v>
      </c>
      <c r="H172" s="214" t="s">
        <v>340</v>
      </c>
      <c r="I172" s="214"/>
      <c r="J172" s="9" t="n">
        <v>0</v>
      </c>
      <c r="K172" s="214" t="s">
        <v>341</v>
      </c>
    </row>
    <row r="173" customFormat="false" ht="11.1" hidden="false" customHeight="true" outlineLevel="0" collapsed="false">
      <c r="C173" s="9" t="n">
        <v>6</v>
      </c>
      <c r="D173" s="214" t="s">
        <v>342</v>
      </c>
      <c r="E173" s="214"/>
      <c r="F173" s="214"/>
      <c r="G173" s="9" t="n">
        <v>0</v>
      </c>
      <c r="H173" s="214" t="s">
        <v>343</v>
      </c>
      <c r="I173" s="214"/>
      <c r="J173" s="9" t="n">
        <v>0</v>
      </c>
      <c r="K173" s="214" t="s">
        <v>344</v>
      </c>
    </row>
    <row r="174" customFormat="false" ht="11.1" hidden="false" customHeight="true" outlineLevel="0" collapsed="false">
      <c r="C174" s="9" t="n">
        <v>6</v>
      </c>
      <c r="D174" s="214" t="s">
        <v>345</v>
      </c>
      <c r="E174" s="214"/>
      <c r="F174" s="214"/>
      <c r="G174" s="9" t="n">
        <v>0</v>
      </c>
      <c r="H174" s="214" t="s">
        <v>346</v>
      </c>
      <c r="I174" s="214"/>
      <c r="J174" s="9" t="n">
        <f aca="false">J172+J173</f>
        <v>0</v>
      </c>
      <c r="K174" s="214" t="s">
        <v>58</v>
      </c>
    </row>
    <row r="175" customFormat="false" ht="11.1" hidden="false" customHeight="true" outlineLevel="0" collapsed="false">
      <c r="C175" s="9" t="n">
        <f aca="false">C172+C173+C174</f>
        <v>18</v>
      </c>
      <c r="D175" s="214" t="s">
        <v>58</v>
      </c>
      <c r="E175" s="214"/>
      <c r="F175" s="214"/>
      <c r="G175" s="9" t="n">
        <f aca="false">G172+G173+G174</f>
        <v>0</v>
      </c>
      <c r="H175" s="214" t="s">
        <v>58</v>
      </c>
      <c r="I175" s="214"/>
      <c r="J175" s="248"/>
      <c r="K175" s="214"/>
    </row>
    <row r="176" customFormat="false" ht="11.1" hidden="false" customHeight="true" outlineLevel="0" collapsed="false">
      <c r="C176" s="214"/>
      <c r="D176" s="214"/>
      <c r="E176" s="214"/>
      <c r="F176" s="214"/>
      <c r="G176" s="214"/>
      <c r="H176" s="214"/>
      <c r="I176" s="214"/>
      <c r="J176" s="214"/>
      <c r="K176" s="214"/>
    </row>
    <row r="177" customFormat="false" ht="11.1" hidden="false" customHeight="true" outlineLevel="0" collapsed="false">
      <c r="C177" s="220" t="s">
        <v>347</v>
      </c>
      <c r="D177" s="214"/>
      <c r="F177" s="214"/>
      <c r="G177" s="214"/>
      <c r="H177" s="214"/>
      <c r="J177" s="220" t="s">
        <v>82</v>
      </c>
      <c r="K177" s="214"/>
    </row>
    <row r="178" customFormat="false" ht="11.1" hidden="false" customHeight="true" outlineLevel="0" collapsed="false">
      <c r="C178" s="9" t="n">
        <v>0</v>
      </c>
      <c r="D178" s="252" t="s">
        <v>348</v>
      </c>
      <c r="F178" s="214"/>
      <c r="G178" s="214"/>
      <c r="H178" s="214"/>
      <c r="J178" s="9" t="n">
        <v>0</v>
      </c>
      <c r="K178" s="214" t="s">
        <v>349</v>
      </c>
    </row>
    <row r="179" customFormat="false" ht="11.1" hidden="false" customHeight="true" outlineLevel="0" collapsed="false">
      <c r="C179" s="9" t="n">
        <v>0</v>
      </c>
      <c r="D179" s="214" t="s">
        <v>350</v>
      </c>
      <c r="F179" s="214"/>
      <c r="G179" s="214"/>
      <c r="H179" s="214"/>
      <c r="J179" s="9" t="n">
        <v>2</v>
      </c>
      <c r="K179" s="214" t="s">
        <v>351</v>
      </c>
    </row>
    <row r="180" customFormat="false" ht="11.1" hidden="false" customHeight="true" outlineLevel="0" collapsed="false">
      <c r="C180" s="9" t="n">
        <f aca="false">C178+C179</f>
        <v>0</v>
      </c>
      <c r="D180" s="214" t="s">
        <v>58</v>
      </c>
      <c r="F180" s="214"/>
      <c r="G180" s="214"/>
      <c r="H180" s="214"/>
      <c r="J180" s="9" t="n">
        <f aca="false">J178+J179</f>
        <v>2</v>
      </c>
      <c r="K180" s="214" t="s">
        <v>58</v>
      </c>
    </row>
    <row r="181" customFormat="false" ht="11.1" hidden="false" customHeight="true" outlineLevel="0" collapsed="false">
      <c r="C181" s="214"/>
      <c r="D181" s="214"/>
      <c r="E181" s="214"/>
      <c r="F181" s="214"/>
      <c r="G181" s="214"/>
      <c r="H181" s="214"/>
      <c r="I181" s="214"/>
      <c r="J181" s="214"/>
      <c r="K181" s="214"/>
    </row>
    <row r="182" customFormat="false" ht="11.1" hidden="false" customHeight="true" outlineLevel="0" collapsed="false">
      <c r="C182" s="220" t="s">
        <v>352</v>
      </c>
      <c r="D182" s="214"/>
      <c r="F182" s="214"/>
      <c r="G182" s="214"/>
      <c r="H182" s="214"/>
      <c r="I182" s="214"/>
      <c r="J182" s="214"/>
      <c r="K182" s="214"/>
    </row>
    <row r="183" customFormat="false" ht="11.1" hidden="false" customHeight="true" outlineLevel="0" collapsed="false">
      <c r="C183" s="253" t="n">
        <v>18</v>
      </c>
      <c r="D183" s="214" t="s">
        <v>353</v>
      </c>
      <c r="F183" s="214"/>
      <c r="G183" s="214"/>
      <c r="H183" s="214"/>
      <c r="I183" s="214"/>
      <c r="J183" s="214"/>
      <c r="K183" s="214"/>
    </row>
    <row r="184" customFormat="false" ht="11.1" hidden="false" customHeight="true" outlineLevel="0" collapsed="false">
      <c r="C184" s="253" t="n">
        <v>18</v>
      </c>
      <c r="D184" s="214" t="s">
        <v>354</v>
      </c>
      <c r="F184" s="214"/>
      <c r="G184" s="214"/>
      <c r="H184" s="214"/>
      <c r="I184" s="214"/>
      <c r="J184" s="214"/>
      <c r="K184" s="214"/>
    </row>
    <row r="185" customFormat="false" ht="11.1" hidden="false" customHeight="true" outlineLevel="0" collapsed="false">
      <c r="C185" s="253" t="n">
        <v>0</v>
      </c>
      <c r="D185" s="254" t="s">
        <v>355</v>
      </c>
      <c r="F185" s="214"/>
      <c r="G185" s="214"/>
      <c r="H185" s="214"/>
      <c r="I185" s="214"/>
      <c r="J185" s="214"/>
      <c r="K185" s="214"/>
    </row>
    <row r="186" customFormat="false" ht="11.1" hidden="false" customHeight="true" outlineLevel="0" collapsed="false">
      <c r="C186" s="255"/>
      <c r="D186" s="254"/>
      <c r="F186" s="214"/>
      <c r="G186" s="214"/>
      <c r="H186" s="214"/>
      <c r="I186" s="214"/>
      <c r="J186" s="214"/>
      <c r="K186" s="214"/>
    </row>
    <row r="187" customFormat="false" ht="11.1" hidden="false" customHeight="true" outlineLevel="0" collapsed="false">
      <c r="C187" s="255"/>
      <c r="D187" s="254"/>
      <c r="F187" s="214"/>
      <c r="G187" s="214"/>
      <c r="H187" s="214"/>
      <c r="I187" s="214"/>
      <c r="J187" s="214"/>
      <c r="K187" s="214"/>
    </row>
    <row r="188" customFormat="false" ht="11.1" hidden="false" customHeight="true" outlineLevel="0" collapsed="false"/>
    <row r="189" customFormat="false" ht="11.1" hidden="false" customHeight="true" outlineLevel="0" collapsed="false">
      <c r="B189" s="256" t="s">
        <v>356</v>
      </c>
      <c r="C189" s="256"/>
      <c r="D189" s="257"/>
      <c r="E189" s="258" t="str">
        <f aca="false">C140</f>
        <v>MARZO 2026</v>
      </c>
      <c r="F189" s="257"/>
      <c r="G189" s="257"/>
      <c r="H189" s="257"/>
      <c r="I189" s="214"/>
      <c r="J189" s="214"/>
    </row>
    <row r="190" customFormat="false" ht="11.1" hidden="false" customHeight="true" outlineLevel="0" collapsed="false">
      <c r="B190" s="214"/>
      <c r="C190" s="214"/>
      <c r="D190" s="214"/>
      <c r="E190" s="214"/>
      <c r="F190" s="254"/>
      <c r="G190" s="254"/>
      <c r="H190" s="254"/>
      <c r="I190" s="254"/>
      <c r="J190" s="214"/>
    </row>
    <row r="191" customFormat="false" ht="11.1" hidden="false" customHeight="true" outlineLevel="0" collapsed="false">
      <c r="B191" s="214"/>
      <c r="C191" s="214"/>
      <c r="D191" s="214"/>
      <c r="E191" s="214"/>
      <c r="F191" s="214"/>
      <c r="G191" s="255" t="s">
        <v>357</v>
      </c>
      <c r="H191" s="255"/>
      <c r="I191" s="255"/>
      <c r="J191" s="214"/>
    </row>
    <row r="192" customFormat="false" ht="11.1" hidden="false" customHeight="true" outlineLevel="0" collapsed="false">
      <c r="B192" s="214"/>
      <c r="C192" s="214"/>
      <c r="D192" s="214"/>
      <c r="E192" s="214"/>
      <c r="F192" s="214"/>
      <c r="G192" s="259"/>
      <c r="H192" s="259"/>
      <c r="I192" s="257"/>
      <c r="J192" s="214"/>
    </row>
    <row r="193" customFormat="false" ht="11.1" hidden="false" customHeight="true" outlineLevel="0" collapsed="false">
      <c r="B193" s="214"/>
      <c r="C193" s="214"/>
      <c r="D193" s="254"/>
      <c r="E193" s="254"/>
      <c r="F193" s="260" t="s">
        <v>17</v>
      </c>
      <c r="G193" s="260"/>
      <c r="H193" s="260"/>
      <c r="I193" s="260"/>
      <c r="J193" s="260"/>
    </row>
    <row r="194" customFormat="false" ht="11.1" hidden="false" customHeight="true" outlineLevel="0" collapsed="false">
      <c r="B194" s="214"/>
      <c r="C194" s="214"/>
      <c r="D194" s="254"/>
      <c r="E194" s="254"/>
      <c r="F194" s="254"/>
      <c r="G194" s="255" t="s">
        <v>89</v>
      </c>
      <c r="H194" s="255"/>
      <c r="I194" s="255"/>
      <c r="J194" s="254"/>
    </row>
    <row r="195" customFormat="false" ht="11.1" hidden="false" customHeight="true" outlineLevel="0" collapsed="false">
      <c r="B195" s="214"/>
      <c r="C195" s="214"/>
      <c r="D195" s="248"/>
      <c r="E195" s="248"/>
      <c r="F195" s="248"/>
      <c r="G195" s="214"/>
      <c r="H195" s="214"/>
    </row>
    <row r="196" customFormat="false" ht="11.1" hidden="false" customHeight="true" outlineLevel="0" collapsed="false">
      <c r="B196" s="214"/>
      <c r="C196" s="214"/>
      <c r="D196" s="248"/>
      <c r="E196" s="248"/>
      <c r="F196" s="248"/>
      <c r="G196" s="214"/>
      <c r="H196" s="214"/>
    </row>
    <row r="197" customFormat="false" ht="11.1" hidden="false" customHeight="true" outlineLevel="0" collapsed="false">
      <c r="C197" s="259"/>
      <c r="D197" s="255" t="s">
        <v>358</v>
      </c>
      <c r="E197" s="255"/>
      <c r="F197" s="255"/>
      <c r="G197" s="259"/>
      <c r="H197" s="259"/>
      <c r="I197" s="255" t="s">
        <v>359</v>
      </c>
      <c r="J197" s="255"/>
      <c r="K197" s="255"/>
    </row>
    <row r="198" customFormat="false" ht="11.1" hidden="false" customHeight="true" outlineLevel="0" collapsed="false">
      <c r="C198" s="259"/>
      <c r="D198" s="261"/>
      <c r="E198" s="261"/>
      <c r="F198" s="261"/>
      <c r="G198" s="259"/>
      <c r="H198" s="259"/>
      <c r="I198" s="261"/>
      <c r="J198" s="261"/>
      <c r="K198" s="259"/>
    </row>
    <row r="199" customFormat="false" ht="11.1" hidden="false" customHeight="true" outlineLevel="0" collapsed="false">
      <c r="C199" s="255" t="s">
        <v>19</v>
      </c>
      <c r="D199" s="255"/>
      <c r="E199" s="255"/>
      <c r="F199" s="255"/>
      <c r="G199" s="255"/>
      <c r="H199" s="259"/>
      <c r="I199" s="260" t="s">
        <v>22</v>
      </c>
      <c r="J199" s="260"/>
      <c r="K199" s="260"/>
    </row>
    <row r="200" customFormat="false" ht="11.1" hidden="false" customHeight="true" outlineLevel="0" collapsed="false">
      <c r="C200" s="255" t="s">
        <v>360</v>
      </c>
      <c r="D200" s="255"/>
      <c r="E200" s="255"/>
      <c r="F200" s="255"/>
      <c r="G200" s="255"/>
      <c r="H200" s="259"/>
      <c r="I200" s="255" t="s">
        <v>90</v>
      </c>
      <c r="J200" s="255"/>
      <c r="K200" s="255"/>
    </row>
    <row r="201" customFormat="false" ht="11.1" hidden="false" customHeight="true" outlineLevel="0" collapsed="false"/>
    <row r="202" customFormat="false" ht="11.1" hidden="false" customHeight="true" outlineLevel="0" collapsed="false"/>
    <row r="203" customFormat="false" ht="11.1" hidden="false" customHeight="true" outlineLevel="0" collapsed="false">
      <c r="A203" s="262" t="s">
        <v>361</v>
      </c>
      <c r="B203" s="262"/>
      <c r="C203" s="262"/>
      <c r="D203" s="262"/>
      <c r="E203" s="262"/>
      <c r="F203" s="262"/>
      <c r="G203" s="262"/>
      <c r="H203" s="262"/>
      <c r="I203" s="262"/>
      <c r="J203" s="262"/>
      <c r="K203" s="262"/>
      <c r="L203" s="262"/>
    </row>
    <row r="204" customFormat="false" ht="11.1" hidden="false" customHeight="true" outlineLevel="0" collapsed="false">
      <c r="F204" s="214" t="s">
        <v>307</v>
      </c>
    </row>
    <row r="205" customFormat="false" ht="11.1" hidden="false" customHeight="true" outlineLevel="0" collapsed="false"/>
    <row r="206" customFormat="false" ht="11.1" hidden="false" customHeight="true" outlineLevel="0" collapsed="false"/>
    <row r="207" customFormat="false" ht="11.1" hidden="false" customHeight="true" outlineLevel="0" collapsed="false">
      <c r="B207" s="214" t="s">
        <v>362</v>
      </c>
      <c r="C207" s="214"/>
      <c r="D207" s="214"/>
      <c r="E207" s="214"/>
      <c r="F207" s="214"/>
      <c r="G207" s="214"/>
      <c r="H207" s="214"/>
      <c r="I207" s="214"/>
      <c r="J207" s="214"/>
      <c r="K207" s="251"/>
    </row>
    <row r="208" customFormat="false" ht="11.1" hidden="false" customHeight="true" outlineLevel="0" collapsed="false">
      <c r="B208" s="214" t="s">
        <v>363</v>
      </c>
      <c r="C208" s="214"/>
      <c r="D208" s="214"/>
      <c r="E208" s="214"/>
      <c r="F208" s="214"/>
      <c r="G208" s="214"/>
      <c r="I208" s="263" t="s">
        <v>59</v>
      </c>
      <c r="J208" s="263" t="str">
        <f aca="false">E189</f>
        <v>MARZO 2026</v>
      </c>
      <c r="K208" s="263"/>
    </row>
    <row r="209" customFormat="false" ht="11.1" hidden="false" customHeight="true" outlineLevel="0" collapsed="false">
      <c r="B209" s="214"/>
      <c r="C209" s="214"/>
      <c r="D209" s="214"/>
      <c r="E209" s="214"/>
      <c r="F209" s="214"/>
      <c r="G209" s="214"/>
      <c r="H209" s="214"/>
      <c r="I209" s="214"/>
      <c r="J209" s="214"/>
    </row>
    <row r="210" customFormat="false" ht="11.1" hidden="false" customHeight="true" outlineLevel="0" collapsed="false">
      <c r="B210" s="214"/>
      <c r="C210" s="214"/>
      <c r="D210" s="264" t="s">
        <v>364</v>
      </c>
      <c r="E210" s="265"/>
      <c r="F210" s="266"/>
      <c r="G210" s="214"/>
      <c r="H210" s="214"/>
      <c r="I210" s="214"/>
      <c r="J210" s="214"/>
    </row>
    <row r="211" customFormat="false" ht="11.1" hidden="false" customHeight="true" outlineLevel="0" collapsed="false">
      <c r="B211" s="214"/>
      <c r="C211" s="214"/>
      <c r="D211" s="214"/>
      <c r="E211" s="214"/>
      <c r="F211" s="214"/>
      <c r="G211" s="214"/>
      <c r="H211" s="214"/>
      <c r="I211" s="214"/>
      <c r="J211" s="214"/>
    </row>
    <row r="212" customFormat="false" ht="11.1" hidden="false" customHeight="true" outlineLevel="0" collapsed="false">
      <c r="B212" s="214"/>
      <c r="C212" s="214"/>
      <c r="D212" s="214"/>
      <c r="E212" s="214"/>
      <c r="F212" s="214"/>
      <c r="G212" s="214"/>
      <c r="H212" s="214"/>
      <c r="I212" s="254"/>
      <c r="J212" s="254"/>
      <c r="K212" s="37"/>
    </row>
    <row r="213" customFormat="false" ht="11.1" hidden="false" customHeight="true" outlineLevel="0" collapsed="false">
      <c r="B213" s="214"/>
      <c r="C213" s="220" t="s">
        <v>365</v>
      </c>
      <c r="D213" s="214"/>
      <c r="F213" s="214"/>
      <c r="G213" s="214"/>
      <c r="I213" s="254"/>
      <c r="J213" s="254"/>
      <c r="K213" s="37"/>
    </row>
    <row r="214" customFormat="false" ht="11.1" hidden="false" customHeight="true" outlineLevel="0" collapsed="false">
      <c r="B214" s="267"/>
      <c r="C214" s="267"/>
      <c r="D214" s="267"/>
      <c r="E214" s="267"/>
      <c r="F214" s="267"/>
      <c r="G214" s="214"/>
      <c r="I214" s="254"/>
      <c r="J214" s="254"/>
      <c r="K214" s="37"/>
    </row>
    <row r="215" customFormat="false" ht="11.1" hidden="false" customHeight="true" outlineLevel="0" collapsed="false">
      <c r="A215" s="252" t="n">
        <v>1</v>
      </c>
      <c r="B215" s="252" t="s">
        <v>397</v>
      </c>
      <c r="C215" s="268"/>
      <c r="D215" s="268"/>
      <c r="E215" s="268"/>
      <c r="F215" s="269" t="s">
        <v>367</v>
      </c>
      <c r="G215" s="269"/>
      <c r="I215" s="254"/>
      <c r="J215" s="254"/>
      <c r="K215" s="37"/>
    </row>
    <row r="216" customFormat="false" ht="11.1" hidden="false" customHeight="true" outlineLevel="0" collapsed="false">
      <c r="A216" s="252" t="n">
        <v>2</v>
      </c>
      <c r="B216" s="252" t="s">
        <v>22</v>
      </c>
      <c r="C216" s="268"/>
      <c r="D216" s="268"/>
      <c r="E216" s="268"/>
      <c r="F216" s="214" t="s">
        <v>368</v>
      </c>
      <c r="G216" s="214"/>
      <c r="I216" s="254"/>
      <c r="J216" s="254"/>
      <c r="K216" s="37"/>
    </row>
    <row r="217" customFormat="false" ht="11.1" hidden="false" customHeight="true" outlineLevel="0" collapsed="false">
      <c r="A217" s="252" t="n">
        <v>3</v>
      </c>
      <c r="B217" s="252" t="s">
        <v>25</v>
      </c>
      <c r="C217" s="268"/>
      <c r="D217" s="268"/>
      <c r="E217" s="268"/>
      <c r="F217" s="214" t="s">
        <v>369</v>
      </c>
      <c r="G217" s="214"/>
      <c r="I217" s="254"/>
      <c r="J217" s="254"/>
      <c r="K217" s="37"/>
    </row>
    <row r="218" customFormat="false" ht="11.1" hidden="false" customHeight="true" outlineLevel="0" collapsed="false">
      <c r="A218" s="252" t="n">
        <v>4</v>
      </c>
      <c r="B218" s="252" t="s">
        <v>398</v>
      </c>
      <c r="C218" s="268"/>
      <c r="D218" s="268"/>
      <c r="E218" s="268"/>
      <c r="F218" s="252" t="s">
        <v>371</v>
      </c>
      <c r="I218" s="254"/>
      <c r="J218" s="254"/>
      <c r="K218" s="37"/>
    </row>
    <row r="219" customFormat="false" ht="11.1" hidden="false" customHeight="true" outlineLevel="0" collapsed="false">
      <c r="A219" s="252" t="n">
        <v>5</v>
      </c>
      <c r="B219" s="252" t="s">
        <v>17</v>
      </c>
      <c r="C219" s="268"/>
      <c r="D219" s="268"/>
      <c r="E219" s="268"/>
      <c r="F219" s="268" t="s">
        <v>372</v>
      </c>
      <c r="G219" s="214"/>
      <c r="I219" s="254"/>
      <c r="J219" s="254"/>
      <c r="K219" s="267" t="s">
        <v>21</v>
      </c>
    </row>
    <row r="220" customFormat="false" ht="11.1" hidden="false" customHeight="true" outlineLevel="0" collapsed="false">
      <c r="A220" s="252" t="n">
        <v>6</v>
      </c>
      <c r="B220" s="252" t="s">
        <v>26</v>
      </c>
      <c r="C220" s="268"/>
      <c r="D220" s="268"/>
      <c r="E220" s="268"/>
      <c r="F220" s="268" t="s">
        <v>374</v>
      </c>
      <c r="G220" s="214"/>
      <c r="I220" s="254"/>
      <c r="J220" s="254"/>
      <c r="K220" s="37"/>
    </row>
    <row r="221" customFormat="false" ht="11.1" hidden="false" customHeight="true" outlineLevel="0" collapsed="false">
      <c r="B221" s="270"/>
      <c r="C221" s="270"/>
      <c r="D221" s="270"/>
      <c r="E221" s="270"/>
      <c r="F221" s="270"/>
      <c r="G221" s="214"/>
      <c r="H221" s="252"/>
      <c r="I221" s="254"/>
      <c r="J221" s="254"/>
      <c r="K221" s="37"/>
    </row>
    <row r="222" customFormat="false" ht="11.1" hidden="false" customHeight="true" outlineLevel="0" collapsed="false">
      <c r="B222" s="251"/>
      <c r="C222" s="271" t="s">
        <v>375</v>
      </c>
      <c r="D222" s="251"/>
      <c r="E222" s="251"/>
      <c r="F222" s="251"/>
      <c r="G222" s="214"/>
      <c r="H222" s="214"/>
      <c r="I222" s="254"/>
      <c r="J222" s="254" t="s">
        <v>21</v>
      </c>
      <c r="K222" s="254" t="s">
        <v>21</v>
      </c>
    </row>
    <row r="223" customFormat="false" ht="11.1" hidden="false" customHeight="true" outlineLevel="0" collapsed="false">
      <c r="A223" s="252" t="n">
        <v>1</v>
      </c>
      <c r="B223" s="272" t="s">
        <v>27</v>
      </c>
      <c r="C223" s="251"/>
      <c r="D223" s="273"/>
      <c r="E223" s="251"/>
      <c r="F223" s="251"/>
      <c r="G223" s="214"/>
      <c r="H223" s="214"/>
      <c r="I223" s="254"/>
      <c r="J223" s="254" t="s">
        <v>21</v>
      </c>
      <c r="K223" s="254" t="s">
        <v>21</v>
      </c>
    </row>
    <row r="224" customFormat="false" ht="11.1" hidden="false" customHeight="true" outlineLevel="0" collapsed="false">
      <c r="A224" s="252" t="n">
        <v>2</v>
      </c>
      <c r="B224" s="272" t="s">
        <v>399</v>
      </c>
      <c r="C224" s="252"/>
      <c r="D224" s="274"/>
      <c r="E224" s="252"/>
      <c r="F224" s="252"/>
      <c r="G224" s="214"/>
      <c r="H224" s="214"/>
      <c r="I224" s="254"/>
      <c r="J224" s="254"/>
      <c r="K224" s="37"/>
    </row>
    <row r="225" customFormat="false" ht="11.1" hidden="false" customHeight="true" outlineLevel="0" collapsed="false">
      <c r="A225" s="252" t="n">
        <v>3</v>
      </c>
      <c r="B225" s="272" t="s">
        <v>29</v>
      </c>
      <c r="D225" s="274"/>
      <c r="E225" s="252"/>
      <c r="F225" s="252"/>
      <c r="G225" s="214"/>
      <c r="H225" s="214"/>
      <c r="I225" s="254"/>
      <c r="J225" s="254"/>
      <c r="K225" s="37"/>
    </row>
    <row r="226" customFormat="false" ht="11.1" hidden="false" customHeight="true" outlineLevel="0" collapsed="false">
      <c r="A226" s="252" t="n">
        <v>4</v>
      </c>
      <c r="B226" s="272" t="s">
        <v>30</v>
      </c>
      <c r="C226" s="252"/>
      <c r="D226" s="274"/>
      <c r="E226" s="252"/>
      <c r="F226" s="252"/>
      <c r="G226" s="214"/>
      <c r="H226" s="214"/>
      <c r="I226" s="254"/>
      <c r="J226" s="254"/>
      <c r="K226" s="37"/>
    </row>
    <row r="227" customFormat="false" ht="11.1" hidden="false" customHeight="true" outlineLevel="0" collapsed="false">
      <c r="A227" s="252" t="n">
        <v>5</v>
      </c>
      <c r="B227" s="272" t="s">
        <v>31</v>
      </c>
      <c r="C227" s="252"/>
      <c r="D227" s="274"/>
      <c r="E227" s="252"/>
      <c r="F227" s="252"/>
      <c r="G227" s="214"/>
      <c r="H227" s="214"/>
      <c r="I227" s="254"/>
      <c r="J227" s="254"/>
      <c r="K227" s="37"/>
    </row>
    <row r="228" customFormat="false" ht="11.1" hidden="false" customHeight="true" outlineLevel="0" collapsed="false">
      <c r="A228" s="252" t="n">
        <v>6</v>
      </c>
      <c r="B228" s="272" t="s">
        <v>32</v>
      </c>
      <c r="C228" s="252"/>
      <c r="D228" s="274"/>
      <c r="E228" s="252"/>
      <c r="F228" s="252"/>
      <c r="G228" s="214"/>
      <c r="H228" s="214"/>
      <c r="I228" s="254"/>
      <c r="J228" s="254"/>
      <c r="K228" s="37"/>
    </row>
    <row r="229" customFormat="false" ht="11.1" hidden="false" customHeight="true" outlineLevel="0" collapsed="false">
      <c r="B229" s="252"/>
      <c r="C229" s="252"/>
      <c r="D229" s="252"/>
      <c r="E229" s="252"/>
      <c r="F229" s="252"/>
      <c r="G229" s="214"/>
      <c r="H229" s="214"/>
      <c r="I229" s="254"/>
      <c r="J229" s="254"/>
      <c r="K229" s="37"/>
    </row>
    <row r="230" customFormat="false" ht="11.1" hidden="false" customHeight="true" outlineLevel="0" collapsed="false">
      <c r="B230" s="252"/>
      <c r="C230" s="271" t="s">
        <v>381</v>
      </c>
      <c r="D230" s="252"/>
      <c r="E230" s="252"/>
      <c r="F230" s="252"/>
      <c r="G230" s="214"/>
      <c r="H230" s="214"/>
      <c r="I230" s="254"/>
      <c r="J230" s="254"/>
      <c r="K230" s="37"/>
    </row>
    <row r="231" customFormat="false" ht="11.1" hidden="false" customHeight="true" outlineLevel="0" collapsed="false">
      <c r="A231" s="252" t="n">
        <v>1</v>
      </c>
      <c r="B231" s="252" t="s">
        <v>400</v>
      </c>
      <c r="C231" s="252"/>
      <c r="D231" s="252"/>
      <c r="E231" s="252"/>
      <c r="F231" s="252"/>
      <c r="G231" s="214" t="s">
        <v>21</v>
      </c>
      <c r="H231" s="214"/>
      <c r="I231" s="254"/>
      <c r="J231" s="254"/>
      <c r="K231" s="37"/>
    </row>
    <row r="232" customFormat="false" ht="11.1" hidden="false" customHeight="true" outlineLevel="0" collapsed="false">
      <c r="A232" s="252" t="n">
        <v>2</v>
      </c>
      <c r="B232" s="252" t="s">
        <v>34</v>
      </c>
      <c r="C232" s="252"/>
      <c r="D232" s="252"/>
      <c r="E232" s="252"/>
      <c r="F232" s="252"/>
      <c r="G232" s="214"/>
      <c r="H232" s="214"/>
      <c r="I232" s="254"/>
      <c r="J232" s="254"/>
      <c r="K232" s="37"/>
    </row>
    <row r="233" customFormat="false" ht="11.1" hidden="false" customHeight="true" outlineLevel="0" collapsed="false">
      <c r="A233" s="252" t="n">
        <v>3</v>
      </c>
      <c r="B233" s="252" t="s">
        <v>35</v>
      </c>
      <c r="C233" s="252"/>
      <c r="D233" s="252"/>
      <c r="E233" s="252"/>
      <c r="F233" s="252"/>
      <c r="G233" s="214"/>
      <c r="H233" s="214"/>
      <c r="I233" s="254"/>
      <c r="J233" s="254"/>
      <c r="K233" s="37"/>
    </row>
    <row r="234" customFormat="false" ht="11.1" hidden="false" customHeight="true" outlineLevel="0" collapsed="false">
      <c r="A234" s="252" t="n">
        <v>4</v>
      </c>
      <c r="B234" s="252" t="s">
        <v>36</v>
      </c>
      <c r="C234" s="252"/>
      <c r="D234" s="252"/>
      <c r="E234" s="252"/>
      <c r="F234" s="252"/>
      <c r="G234" s="214"/>
      <c r="H234" s="214"/>
      <c r="I234" s="254"/>
      <c r="J234" s="254"/>
      <c r="K234" s="37"/>
    </row>
    <row r="235" customFormat="false" ht="11.1" hidden="false" customHeight="true" outlineLevel="0" collapsed="false">
      <c r="A235" s="252" t="n">
        <v>5</v>
      </c>
      <c r="B235" s="252" t="s">
        <v>401</v>
      </c>
      <c r="C235" s="252"/>
      <c r="D235" s="252"/>
      <c r="F235" s="252"/>
      <c r="G235" s="214"/>
      <c r="H235" s="214"/>
      <c r="I235" s="254"/>
      <c r="J235" s="254"/>
      <c r="K235" s="37"/>
    </row>
    <row r="236" customFormat="false" ht="11.1" hidden="false" customHeight="true" outlineLevel="0" collapsed="false">
      <c r="A236" s="252" t="n">
        <v>6</v>
      </c>
      <c r="B236" s="252" t="s">
        <v>402</v>
      </c>
      <c r="C236" s="214"/>
      <c r="D236" s="214"/>
      <c r="E236" s="214"/>
      <c r="F236" s="214"/>
      <c r="G236" s="214"/>
      <c r="H236" s="214"/>
      <c r="I236" s="254"/>
      <c r="J236" s="254"/>
      <c r="K236" s="37"/>
    </row>
    <row r="237" customFormat="false" ht="11.1" hidden="false" customHeight="true" outlineLevel="0" collapsed="false">
      <c r="B237" s="275"/>
      <c r="C237" s="275"/>
      <c r="D237" s="275"/>
      <c r="F237" s="275"/>
      <c r="G237" s="254"/>
      <c r="H237" s="254"/>
      <c r="I237" s="254"/>
      <c r="J237" s="254"/>
      <c r="K237" s="37"/>
    </row>
    <row r="238" customFormat="false" ht="11.1" hidden="false" customHeight="true" outlineLevel="0" collapsed="false">
      <c r="B238" s="254"/>
      <c r="C238" s="254"/>
      <c r="D238" s="254"/>
      <c r="E238" s="254"/>
      <c r="F238" s="254"/>
      <c r="G238" s="254"/>
      <c r="H238" s="254"/>
      <c r="I238" s="254"/>
      <c r="J238" s="254"/>
      <c r="K238" s="37"/>
    </row>
    <row r="239" customFormat="false" ht="11.1" hidden="false" customHeight="true" outlineLevel="0" collapsed="false">
      <c r="B239" s="254"/>
      <c r="C239" s="254"/>
      <c r="D239" s="254"/>
      <c r="E239" s="276" t="s">
        <v>387</v>
      </c>
      <c r="F239" s="254"/>
      <c r="G239" s="254"/>
      <c r="H239" s="254"/>
      <c r="I239" s="254"/>
      <c r="J239" s="254"/>
      <c r="K239" s="37"/>
    </row>
    <row r="240" customFormat="false" ht="11.1" hidden="false" customHeight="true" outlineLevel="0" collapsed="false">
      <c r="B240" s="254"/>
      <c r="C240" s="254"/>
      <c r="D240" s="254"/>
      <c r="E240" s="254"/>
      <c r="F240" s="254"/>
      <c r="G240" s="254"/>
      <c r="H240" s="254"/>
      <c r="I240" s="254"/>
      <c r="J240" s="254"/>
      <c r="K240" s="37"/>
    </row>
    <row r="241" customFormat="false" ht="11.1" hidden="false" customHeight="true" outlineLevel="0" collapsed="false">
      <c r="B241" s="254"/>
      <c r="C241" s="254"/>
      <c r="D241" s="254"/>
      <c r="E241" s="254"/>
      <c r="F241" s="254"/>
      <c r="G241" s="254"/>
      <c r="H241" s="254"/>
      <c r="I241" s="254"/>
      <c r="J241" s="254"/>
      <c r="K241" s="37"/>
    </row>
    <row r="242" customFormat="false" ht="11.1" hidden="false" customHeight="true" outlineLevel="0" collapsed="false">
      <c r="B242" s="214"/>
      <c r="C242" s="214"/>
      <c r="D242" s="254"/>
      <c r="E242" s="254"/>
      <c r="F242" s="254"/>
      <c r="G242" s="254"/>
      <c r="H242" s="254"/>
      <c r="I242" s="254"/>
      <c r="J242" s="254"/>
    </row>
    <row r="243" customFormat="false" ht="11.1" hidden="false" customHeight="true" outlineLevel="0" collapsed="false">
      <c r="B243" s="277" t="s">
        <v>388</v>
      </c>
      <c r="C243" s="277"/>
      <c r="D243" s="277"/>
      <c r="E243" s="277"/>
      <c r="F243" s="277"/>
      <c r="G243" s="277"/>
      <c r="H243" s="277"/>
      <c r="I243" s="277"/>
      <c r="J243" s="277"/>
      <c r="K243" s="277"/>
    </row>
    <row r="244" customFormat="false" ht="11.1" hidden="false" customHeight="true" outlineLevel="0" collapsed="false">
      <c r="B244" s="214"/>
      <c r="C244" s="214"/>
      <c r="D244" s="254"/>
      <c r="E244" s="254"/>
      <c r="F244" s="254"/>
      <c r="G244" s="254"/>
      <c r="H244" s="254"/>
      <c r="I244" s="254"/>
      <c r="J244" s="254"/>
    </row>
    <row r="245" customFormat="false" ht="11.1" hidden="false" customHeight="true" outlineLevel="0" collapsed="false">
      <c r="B245" s="278" t="s">
        <v>389</v>
      </c>
      <c r="C245" s="278"/>
      <c r="D245" s="278"/>
      <c r="E245" s="278"/>
      <c r="F245" s="279" t="s">
        <v>390</v>
      </c>
      <c r="G245" s="280" t="s">
        <v>59</v>
      </c>
      <c r="H245" s="280"/>
      <c r="I245" s="281" t="s">
        <v>391</v>
      </c>
      <c r="J245" s="282" t="s">
        <v>392</v>
      </c>
      <c r="K245" s="283"/>
      <c r="L245" s="284"/>
    </row>
    <row r="246" customFormat="false" ht="11.1" hidden="false" customHeight="true" outlineLevel="0" collapsed="false">
      <c r="B246" s="314"/>
      <c r="C246" s="314"/>
      <c r="D246" s="314"/>
      <c r="E246" s="314"/>
      <c r="F246" s="286"/>
      <c r="G246" s="287"/>
      <c r="H246" s="287"/>
      <c r="I246" s="288"/>
      <c r="J246" s="289"/>
      <c r="K246" s="289"/>
      <c r="L246" s="37"/>
    </row>
    <row r="247" customFormat="false" ht="11.1" hidden="false" customHeight="true" outlineLevel="0" collapsed="false">
      <c r="B247" s="290"/>
      <c r="C247" s="290"/>
      <c r="D247" s="290"/>
      <c r="E247" s="290"/>
      <c r="F247" s="291"/>
      <c r="G247" s="292"/>
      <c r="H247" s="292"/>
      <c r="I247" s="288"/>
      <c r="J247" s="293"/>
      <c r="K247" s="293"/>
    </row>
    <row r="248" customFormat="false" ht="11.1" hidden="false" customHeight="true" outlineLevel="0" collapsed="false">
      <c r="B248" s="294"/>
      <c r="C248" s="294"/>
      <c r="D248" s="294"/>
      <c r="E248" s="294"/>
      <c r="F248" s="295"/>
      <c r="G248" s="296"/>
      <c r="H248" s="296"/>
      <c r="I248" s="297"/>
      <c r="J248" s="298"/>
      <c r="K248" s="298"/>
    </row>
    <row r="249" customFormat="false" ht="11.1" hidden="false" customHeight="true" outlineLevel="0" collapsed="false">
      <c r="B249" s="294"/>
      <c r="C249" s="294"/>
      <c r="D249" s="294"/>
      <c r="E249" s="294"/>
      <c r="F249" s="295"/>
      <c r="G249" s="296"/>
      <c r="H249" s="296"/>
      <c r="I249" s="297"/>
      <c r="J249" s="298"/>
      <c r="K249" s="298"/>
    </row>
    <row r="250" customFormat="false" ht="11.1" hidden="false" customHeight="true" outlineLevel="0" collapsed="false">
      <c r="B250" s="299"/>
      <c r="C250" s="299"/>
      <c r="D250" s="299"/>
      <c r="E250" s="299"/>
      <c r="F250" s="300"/>
      <c r="G250" s="301"/>
      <c r="H250" s="302"/>
      <c r="I250" s="303"/>
      <c r="J250" s="304"/>
      <c r="K250" s="304"/>
    </row>
    <row r="251" customFormat="false" ht="11.1" hidden="false" customHeight="true" outlineLevel="0" collapsed="false">
      <c r="B251" s="305"/>
      <c r="C251" s="305"/>
      <c r="D251" s="305"/>
      <c r="E251" s="255"/>
      <c r="F251" s="306"/>
      <c r="G251" s="306"/>
      <c r="H251" s="255"/>
      <c r="I251" s="307"/>
      <c r="J251" s="307"/>
      <c r="K251" s="307"/>
    </row>
    <row r="252" customFormat="false" ht="11.1" hidden="false" customHeight="true" outlineLevel="0" collapsed="false">
      <c r="B252" s="305"/>
      <c r="C252" s="305"/>
      <c r="D252" s="305"/>
      <c r="E252" s="255"/>
      <c r="F252" s="306"/>
      <c r="G252" s="306"/>
      <c r="H252" s="255"/>
      <c r="I252" s="307"/>
      <c r="J252" s="307"/>
      <c r="K252" s="307"/>
    </row>
    <row r="253" customFormat="false" ht="11.1" hidden="false" customHeight="true" outlineLevel="0" collapsed="false">
      <c r="B253" s="305"/>
      <c r="C253" s="305"/>
      <c r="D253" s="305"/>
      <c r="E253" s="255"/>
      <c r="F253" s="306"/>
      <c r="G253" s="306"/>
      <c r="H253" s="255"/>
      <c r="I253" s="307"/>
      <c r="J253" s="307"/>
      <c r="K253" s="307"/>
    </row>
    <row r="254" customFormat="false" ht="11.1" hidden="false" customHeight="true" outlineLevel="0" collapsed="false">
      <c r="B254" s="305"/>
      <c r="C254" s="305"/>
      <c r="D254" s="305"/>
      <c r="E254" s="255"/>
      <c r="F254" s="306"/>
      <c r="G254" s="306"/>
      <c r="H254" s="255"/>
      <c r="I254" s="307"/>
      <c r="J254" s="307"/>
      <c r="K254" s="307"/>
    </row>
    <row r="255" customFormat="false" ht="11.1" hidden="false" customHeight="true" outlineLevel="0" collapsed="false">
      <c r="B255" s="305"/>
      <c r="C255" s="305"/>
      <c r="D255" s="305"/>
      <c r="E255" s="255"/>
      <c r="F255" s="306"/>
      <c r="G255" s="306"/>
      <c r="H255" s="255"/>
      <c r="I255" s="307"/>
      <c r="J255" s="307"/>
      <c r="K255" s="307"/>
    </row>
    <row r="256" customFormat="false" ht="11.1" hidden="false" customHeight="true" outlineLevel="0" collapsed="false">
      <c r="B256" s="308"/>
      <c r="C256" s="309"/>
      <c r="D256" s="309"/>
      <c r="E256" s="309"/>
      <c r="F256" s="309"/>
      <c r="G256" s="309"/>
      <c r="H256" s="309"/>
      <c r="I256" s="309"/>
      <c r="J256" s="309"/>
      <c r="K256" s="310"/>
    </row>
    <row r="257" customFormat="false" ht="11.1" hidden="false" customHeight="true" outlineLevel="0" collapsed="false">
      <c r="B257" s="308"/>
      <c r="C257" s="309"/>
      <c r="D257" s="309"/>
      <c r="E257" s="309"/>
      <c r="F257" s="309"/>
      <c r="G257" s="309"/>
      <c r="H257" s="309"/>
      <c r="I257" s="309"/>
      <c r="J257" s="309"/>
      <c r="K257" s="310"/>
    </row>
    <row r="258" customFormat="false" ht="11.1" hidden="false" customHeight="true" outlineLevel="0" collapsed="false">
      <c r="B258" s="311"/>
      <c r="C258" s="312"/>
      <c r="D258" s="312"/>
      <c r="E258" s="312"/>
      <c r="F258" s="312"/>
      <c r="G258" s="312"/>
      <c r="H258" s="312"/>
      <c r="I258" s="312"/>
      <c r="J258" s="312"/>
      <c r="K258" s="313"/>
    </row>
    <row r="259" customFormat="false" ht="11.1" hidden="false" customHeight="true" outlineLevel="0" collapsed="false">
      <c r="B259" s="259"/>
      <c r="C259" s="309"/>
      <c r="D259" s="309"/>
      <c r="E259" s="309"/>
      <c r="F259" s="309"/>
      <c r="G259" s="309"/>
      <c r="H259" s="309"/>
      <c r="I259" s="309"/>
      <c r="J259" s="309"/>
      <c r="K259" s="309"/>
    </row>
    <row r="268" customFormat="false" ht="15" hidden="false" customHeight="true" outlineLevel="0" collapsed="false">
      <c r="C268" s="212" t="s">
        <v>44</v>
      </c>
      <c r="D268" s="212"/>
      <c r="E268" s="212"/>
      <c r="F268" s="212"/>
      <c r="G268" s="212"/>
      <c r="H268" s="212"/>
      <c r="I268" s="212"/>
      <c r="J268" s="212"/>
    </row>
    <row r="269" customFormat="false" ht="15" hidden="false" customHeight="false" outlineLevel="0" collapsed="false">
      <c r="A269" s="213" t="s">
        <v>306</v>
      </c>
      <c r="B269" s="213"/>
      <c r="C269" s="213"/>
      <c r="D269" s="213"/>
      <c r="E269" s="213"/>
      <c r="F269" s="213"/>
      <c r="G269" s="213"/>
      <c r="H269" s="213"/>
      <c r="I269" s="213"/>
      <c r="J269" s="213"/>
      <c r="K269" s="213"/>
      <c r="L269" s="213"/>
    </row>
    <row r="270" customFormat="false" ht="15" hidden="false" customHeight="false" outlineLevel="0" collapsed="false">
      <c r="F270" s="214" t="s">
        <v>307</v>
      </c>
    </row>
    <row r="271" customFormat="false" ht="11.1" hidden="false" customHeight="true" outlineLevel="0" collapsed="false"/>
    <row r="272" customFormat="false" ht="15" hidden="false" customHeight="false" outlineLevel="0" collapsed="false">
      <c r="B272" s="215" t="s">
        <v>308</v>
      </c>
      <c r="D272" s="215" t="s">
        <v>309</v>
      </c>
    </row>
    <row r="273" customFormat="false" ht="11.1" hidden="false" customHeight="true" outlineLevel="0" collapsed="false">
      <c r="B273" s="216" t="s">
        <v>310</v>
      </c>
      <c r="C273" s="315" t="s">
        <v>304</v>
      </c>
      <c r="D273" s="315"/>
      <c r="E273" s="315"/>
    </row>
    <row r="274" customFormat="false" ht="11.1" hidden="false" customHeight="true" outlineLevel="0" collapsed="false">
      <c r="B274" s="214" t="s">
        <v>311</v>
      </c>
      <c r="J274" s="218" t="s">
        <v>312</v>
      </c>
    </row>
    <row r="275" customFormat="false" ht="11.1" hidden="false" customHeight="true" outlineLevel="0" collapsed="false">
      <c r="B275" s="219" t="s">
        <v>53</v>
      </c>
      <c r="F275" s="220"/>
      <c r="G275" s="220"/>
      <c r="H275" s="220"/>
      <c r="I275" s="221" t="s">
        <v>313</v>
      </c>
      <c r="J275" s="218"/>
    </row>
    <row r="276" customFormat="false" ht="11.1" hidden="false" customHeight="true" outlineLevel="0" collapsed="false">
      <c r="B276" s="219"/>
      <c r="F276" s="222" t="s">
        <v>314</v>
      </c>
      <c r="G276" s="222" t="s">
        <v>315</v>
      </c>
      <c r="H276" s="223" t="s">
        <v>316</v>
      </c>
      <c r="I276" s="221"/>
      <c r="J276" s="218"/>
    </row>
    <row r="277" customFormat="false" ht="11.1" hidden="false" customHeight="true" outlineLevel="0" collapsed="false"/>
    <row r="278" customFormat="false" ht="11.1" hidden="false" customHeight="true" outlineLevel="0" collapsed="false">
      <c r="B278" s="214" t="s">
        <v>317</v>
      </c>
      <c r="F278" s="224" t="n">
        <v>1</v>
      </c>
      <c r="G278" s="224" t="n">
        <v>15</v>
      </c>
      <c r="H278" s="225" t="n">
        <v>120</v>
      </c>
      <c r="I278" s="226" t="n">
        <f aca="false">F278*G278*H278</f>
        <v>1800</v>
      </c>
      <c r="J278" s="224"/>
    </row>
    <row r="279" customFormat="false" ht="11.1" hidden="false" customHeight="true" outlineLevel="0" collapsed="false">
      <c r="B279" s="220" t="s">
        <v>318</v>
      </c>
      <c r="F279" s="227"/>
      <c r="G279" s="227"/>
      <c r="H279" s="227" t="s">
        <v>21</v>
      </c>
      <c r="I279" s="227" t="s">
        <v>21</v>
      </c>
      <c r="J279" s="227"/>
    </row>
    <row r="280" customFormat="false" ht="11.1" hidden="false" customHeight="true" outlineLevel="0" collapsed="false">
      <c r="B280" s="214" t="s">
        <v>319</v>
      </c>
      <c r="F280" s="228" t="s">
        <v>21</v>
      </c>
      <c r="G280" s="229" t="n">
        <v>0</v>
      </c>
      <c r="H280" s="230" t="n">
        <v>250</v>
      </c>
      <c r="I280" s="231" t="n">
        <f aca="false">G280*H280</f>
        <v>0</v>
      </c>
      <c r="J280" s="228"/>
    </row>
    <row r="281" customFormat="false" ht="11.1" hidden="false" customHeight="true" outlineLevel="0" collapsed="false">
      <c r="B281" s="214" t="s">
        <v>320</v>
      </c>
      <c r="F281" s="228"/>
      <c r="G281" s="229" t="n">
        <v>0</v>
      </c>
      <c r="H281" s="230" t="n">
        <v>250</v>
      </c>
      <c r="I281" s="231" t="n">
        <f aca="false">G281*H281</f>
        <v>0</v>
      </c>
      <c r="J281" s="228"/>
    </row>
    <row r="282" customFormat="false" ht="11.1" hidden="false" customHeight="true" outlineLevel="0" collapsed="false">
      <c r="B282" s="214" t="s">
        <v>321</v>
      </c>
      <c r="F282" s="228"/>
      <c r="G282" s="229" t="n">
        <v>0</v>
      </c>
      <c r="H282" s="230" t="n">
        <v>250</v>
      </c>
      <c r="I282" s="230" t="n">
        <f aca="false">G282*H282</f>
        <v>0</v>
      </c>
      <c r="J282" s="228"/>
    </row>
    <row r="283" customFormat="false" ht="11.1" hidden="false" customHeight="true" outlineLevel="0" collapsed="false">
      <c r="B283" s="214" t="s">
        <v>322</v>
      </c>
      <c r="F283" s="228"/>
      <c r="G283" s="229" t="n">
        <v>0</v>
      </c>
      <c r="H283" s="230" t="n">
        <v>250</v>
      </c>
      <c r="I283" s="231" t="n">
        <f aca="false">G283*H283</f>
        <v>0</v>
      </c>
      <c r="J283" s="228"/>
    </row>
    <row r="284" customFormat="false" ht="11.1" hidden="false" customHeight="true" outlineLevel="0" collapsed="false">
      <c r="B284" s="214" t="s">
        <v>323</v>
      </c>
      <c r="F284" s="228"/>
      <c r="G284" s="229" t="n">
        <v>0</v>
      </c>
      <c r="H284" s="230" t="n">
        <v>250</v>
      </c>
      <c r="I284" s="230" t="n">
        <f aca="false">G284*H284</f>
        <v>0</v>
      </c>
      <c r="J284" s="228"/>
    </row>
    <row r="285" customFormat="false" ht="11.1" hidden="false" customHeight="true" outlineLevel="0" collapsed="false">
      <c r="B285" s="214"/>
      <c r="F285" s="228"/>
      <c r="G285" s="229"/>
      <c r="H285" s="229"/>
      <c r="I285" s="229"/>
      <c r="J285" s="228"/>
    </row>
    <row r="286" customFormat="false" ht="11.1" hidden="false" customHeight="true" outlineLevel="0" collapsed="false">
      <c r="B286" s="220" t="s">
        <v>324</v>
      </c>
      <c r="C286" s="232"/>
      <c r="F286" s="228"/>
      <c r="G286" s="229"/>
      <c r="H286" s="233"/>
      <c r="I286" s="234"/>
      <c r="J286" s="228"/>
    </row>
    <row r="287" customFormat="false" ht="11.1" hidden="false" customHeight="true" outlineLevel="0" collapsed="false">
      <c r="B287" s="214"/>
      <c r="F287" s="228"/>
      <c r="G287" s="229"/>
      <c r="H287" s="229"/>
      <c r="I287" s="229"/>
      <c r="J287" s="228"/>
    </row>
    <row r="288" customFormat="false" ht="11.1" hidden="false" customHeight="true" outlineLevel="0" collapsed="false">
      <c r="B288" s="214" t="s">
        <v>325</v>
      </c>
      <c r="F288" s="228" t="n">
        <f aca="false">F278</f>
        <v>1</v>
      </c>
      <c r="G288" s="229" t="n">
        <f aca="false">G278</f>
        <v>15</v>
      </c>
      <c r="H288" s="235" t="n">
        <v>18</v>
      </c>
      <c r="I288" s="236" t="n">
        <f aca="false">F288*G288*H288</f>
        <v>270</v>
      </c>
      <c r="J288" s="228"/>
    </row>
    <row r="289" customFormat="false" ht="11.1" hidden="false" customHeight="true" outlineLevel="0" collapsed="false">
      <c r="B289" s="214" t="s">
        <v>326</v>
      </c>
      <c r="F289" s="228" t="n">
        <v>1</v>
      </c>
      <c r="G289" s="229" t="s">
        <v>327</v>
      </c>
      <c r="H289" s="237" t="n">
        <v>150</v>
      </c>
      <c r="I289" s="236" t="n">
        <f aca="false">F289*H289</f>
        <v>150</v>
      </c>
      <c r="J289" s="228"/>
    </row>
    <row r="290" customFormat="false" ht="11.1" hidden="false" customHeight="true" outlineLevel="0" collapsed="false">
      <c r="B290" s="214" t="s">
        <v>328</v>
      </c>
      <c r="F290" s="228" t="n">
        <v>1</v>
      </c>
      <c r="G290" s="229" t="s">
        <v>327</v>
      </c>
      <c r="H290" s="237" t="n">
        <v>70</v>
      </c>
      <c r="I290" s="236" t="n">
        <f aca="false">F290*H290</f>
        <v>70</v>
      </c>
      <c r="J290" s="228"/>
    </row>
    <row r="291" customFormat="false" ht="11.1" hidden="false" customHeight="true" outlineLevel="0" collapsed="false">
      <c r="B291" s="214" t="s">
        <v>329</v>
      </c>
      <c r="F291" s="228" t="n">
        <f aca="false">F278</f>
        <v>1</v>
      </c>
      <c r="G291" s="229" t="s">
        <v>327</v>
      </c>
      <c r="H291" s="237" t="n">
        <v>800</v>
      </c>
      <c r="I291" s="236" t="n">
        <f aca="false">F291*H291</f>
        <v>800</v>
      </c>
      <c r="J291" s="228"/>
    </row>
    <row r="292" customFormat="false" ht="11.1" hidden="false" customHeight="true" outlineLevel="0" collapsed="false">
      <c r="B292" s="214"/>
      <c r="F292" s="228"/>
      <c r="G292" s="228"/>
      <c r="H292" s="238"/>
      <c r="I292" s="238"/>
      <c r="J292" s="228"/>
    </row>
    <row r="293" customFormat="false" ht="11.1" hidden="false" customHeight="true" outlineLevel="0" collapsed="false">
      <c r="B293" s="214" t="s">
        <v>330</v>
      </c>
      <c r="F293" s="228" t="n">
        <v>0</v>
      </c>
      <c r="G293" s="228" t="s">
        <v>327</v>
      </c>
      <c r="H293" s="238" t="n">
        <v>500</v>
      </c>
      <c r="I293" s="236" t="n">
        <f aca="false">F293*H293</f>
        <v>0</v>
      </c>
      <c r="J293" s="228"/>
    </row>
    <row r="294" customFormat="false" ht="11.1" hidden="false" customHeight="true" outlineLevel="0" collapsed="false">
      <c r="B294" s="214"/>
      <c r="F294" s="228"/>
      <c r="G294" s="228"/>
      <c r="H294" s="238"/>
      <c r="I294" s="238"/>
      <c r="J294" s="228"/>
    </row>
    <row r="295" customFormat="false" ht="11.1" hidden="false" customHeight="true" outlineLevel="0" collapsed="false">
      <c r="B295" s="220" t="s">
        <v>331</v>
      </c>
      <c r="F295" s="228"/>
      <c r="G295" s="228"/>
      <c r="H295" s="238"/>
      <c r="I295" s="238"/>
      <c r="J295" s="228"/>
    </row>
    <row r="296" customFormat="false" ht="11.1" hidden="false" customHeight="true" outlineLevel="0" collapsed="false">
      <c r="B296" s="214"/>
      <c r="F296" s="228"/>
      <c r="G296" s="228"/>
      <c r="H296" s="238"/>
      <c r="I296" s="238"/>
      <c r="J296" s="228"/>
    </row>
    <row r="297" customFormat="false" ht="11.1" hidden="false" customHeight="true" outlineLevel="0" collapsed="false">
      <c r="B297" s="214" t="s">
        <v>332</v>
      </c>
      <c r="F297" s="228"/>
      <c r="G297" s="228" t="n">
        <v>0</v>
      </c>
      <c r="H297" s="239" t="n">
        <v>150</v>
      </c>
      <c r="I297" s="238"/>
      <c r="J297" s="240" t="n">
        <f aca="false">G297*H297</f>
        <v>0</v>
      </c>
    </row>
    <row r="298" customFormat="false" ht="11.1" hidden="false" customHeight="true" outlineLevel="0" collapsed="false">
      <c r="B298" s="214" t="s">
        <v>333</v>
      </c>
      <c r="F298" s="228" t="n">
        <v>1</v>
      </c>
      <c r="G298" s="228" t="n">
        <f aca="false">G278</f>
        <v>15</v>
      </c>
      <c r="H298" s="239" t="n">
        <v>10</v>
      </c>
      <c r="I298" s="238"/>
      <c r="J298" s="240" t="n">
        <f aca="false">F298*G298*H298</f>
        <v>150</v>
      </c>
    </row>
    <row r="299" customFormat="false" ht="11.1" hidden="false" customHeight="true" outlineLevel="0" collapsed="false">
      <c r="B299" s="214" t="s">
        <v>334</v>
      </c>
      <c r="C299" s="241"/>
      <c r="D299" s="242" t="s">
        <v>335</v>
      </c>
      <c r="E299" s="243" t="s">
        <v>21</v>
      </c>
      <c r="F299" s="244" t="n">
        <v>0</v>
      </c>
      <c r="G299" s="244" t="n">
        <f aca="false">G278</f>
        <v>15</v>
      </c>
      <c r="H299" s="245" t="n">
        <v>50</v>
      </c>
      <c r="I299" s="246"/>
      <c r="J299" s="247" t="n">
        <f aca="false">F299*G299*H299</f>
        <v>0</v>
      </c>
    </row>
    <row r="300" customFormat="false" ht="11.1" hidden="false" customHeight="true" outlineLevel="0" collapsed="false">
      <c r="F300" s="248"/>
      <c r="G300" s="248"/>
      <c r="H300" s="249" t="s">
        <v>336</v>
      </c>
      <c r="I300" s="250" t="n">
        <f aca="false">SUM(I278:I299)</f>
        <v>3090</v>
      </c>
      <c r="J300" s="250" t="n">
        <f aca="false">SUM(J278:J299)</f>
        <v>150</v>
      </c>
    </row>
    <row r="301" customFormat="false" ht="11.1" hidden="false" customHeight="true" outlineLevel="0" collapsed="false">
      <c r="H301" s="249" t="s">
        <v>58</v>
      </c>
      <c r="I301" s="250" t="n">
        <f aca="false">I300+J300</f>
        <v>3240</v>
      </c>
      <c r="J301" s="250"/>
    </row>
    <row r="302" customFormat="false" ht="11.1" hidden="false" customHeight="true" outlineLevel="0" collapsed="false"/>
    <row r="303" customFormat="false" ht="11.1" hidden="false" customHeight="true" outlineLevel="0" collapsed="false">
      <c r="C303" s="220" t="s">
        <v>285</v>
      </c>
      <c r="E303" s="251"/>
      <c r="G303" s="220" t="s">
        <v>337</v>
      </c>
      <c r="H303" s="214"/>
      <c r="I303" s="214"/>
      <c r="J303" s="220" t="s">
        <v>338</v>
      </c>
    </row>
    <row r="304" customFormat="false" ht="11.1" hidden="false" customHeight="true" outlineLevel="0" collapsed="false">
      <c r="C304" s="251"/>
      <c r="D304" s="251"/>
      <c r="E304" s="251"/>
    </row>
    <row r="305" customFormat="false" ht="11.1" hidden="false" customHeight="true" outlineLevel="0" collapsed="false">
      <c r="C305" s="9" t="n">
        <v>6</v>
      </c>
      <c r="D305" s="214" t="s">
        <v>339</v>
      </c>
      <c r="E305" s="214"/>
      <c r="F305" s="214"/>
      <c r="G305" s="9" t="n">
        <v>0</v>
      </c>
      <c r="H305" s="214" t="s">
        <v>340</v>
      </c>
      <c r="I305" s="214"/>
      <c r="J305" s="9" t="n">
        <v>0</v>
      </c>
      <c r="K305" s="214" t="s">
        <v>341</v>
      </c>
    </row>
    <row r="306" customFormat="false" ht="11.1" hidden="false" customHeight="true" outlineLevel="0" collapsed="false">
      <c r="C306" s="9" t="n">
        <v>6</v>
      </c>
      <c r="D306" s="214" t="s">
        <v>342</v>
      </c>
      <c r="E306" s="214"/>
      <c r="F306" s="214"/>
      <c r="G306" s="9" t="n">
        <v>0</v>
      </c>
      <c r="H306" s="214" t="s">
        <v>343</v>
      </c>
      <c r="I306" s="214"/>
      <c r="J306" s="9" t="n">
        <v>0</v>
      </c>
      <c r="K306" s="214" t="s">
        <v>344</v>
      </c>
    </row>
    <row r="307" customFormat="false" ht="11.1" hidden="false" customHeight="true" outlineLevel="0" collapsed="false">
      <c r="C307" s="9" t="n">
        <v>3</v>
      </c>
      <c r="D307" s="214" t="s">
        <v>345</v>
      </c>
      <c r="E307" s="214"/>
      <c r="F307" s="214"/>
      <c r="G307" s="9" t="n">
        <v>0</v>
      </c>
      <c r="H307" s="214" t="s">
        <v>346</v>
      </c>
      <c r="I307" s="214"/>
      <c r="J307" s="9" t="n">
        <f aca="false">J305+J306</f>
        <v>0</v>
      </c>
      <c r="K307" s="214" t="s">
        <v>58</v>
      </c>
    </row>
    <row r="308" customFormat="false" ht="11.1" hidden="false" customHeight="true" outlineLevel="0" collapsed="false">
      <c r="C308" s="9" t="n">
        <f aca="false">C305+C306+C307</f>
        <v>15</v>
      </c>
      <c r="D308" s="214" t="s">
        <v>58</v>
      </c>
      <c r="E308" s="214"/>
      <c r="F308" s="214"/>
      <c r="G308" s="9" t="n">
        <f aca="false">G305+G306+G307</f>
        <v>0</v>
      </c>
      <c r="H308" s="214" t="s">
        <v>58</v>
      </c>
      <c r="I308" s="214"/>
      <c r="J308" s="248"/>
      <c r="K308" s="214"/>
    </row>
    <row r="309" customFormat="false" ht="11.1" hidden="false" customHeight="true" outlineLevel="0" collapsed="false">
      <c r="C309" s="214"/>
      <c r="D309" s="214"/>
      <c r="E309" s="214"/>
      <c r="F309" s="214"/>
      <c r="G309" s="214"/>
      <c r="H309" s="214"/>
      <c r="I309" s="214"/>
      <c r="J309" s="214"/>
      <c r="K309" s="214"/>
    </row>
    <row r="310" customFormat="false" ht="11.1" hidden="false" customHeight="true" outlineLevel="0" collapsed="false">
      <c r="C310" s="220" t="s">
        <v>347</v>
      </c>
      <c r="D310" s="214"/>
      <c r="F310" s="214"/>
      <c r="G310" s="214"/>
      <c r="H310" s="214"/>
      <c r="J310" s="220" t="s">
        <v>82</v>
      </c>
      <c r="K310" s="214"/>
    </row>
    <row r="311" customFormat="false" ht="11.1" hidden="false" customHeight="true" outlineLevel="0" collapsed="false">
      <c r="C311" s="9" t="n">
        <v>0</v>
      </c>
      <c r="D311" s="252" t="s">
        <v>348</v>
      </c>
      <c r="F311" s="214"/>
      <c r="G311" s="214"/>
      <c r="H311" s="214"/>
      <c r="J311" s="9" t="n">
        <v>0</v>
      </c>
      <c r="K311" s="214" t="s">
        <v>349</v>
      </c>
    </row>
    <row r="312" customFormat="false" ht="11.1" hidden="false" customHeight="true" outlineLevel="0" collapsed="false">
      <c r="C312" s="9" t="n">
        <v>0</v>
      </c>
      <c r="D312" s="214" t="s">
        <v>350</v>
      </c>
      <c r="F312" s="214"/>
      <c r="G312" s="214"/>
      <c r="H312" s="214"/>
      <c r="J312" s="9" t="n">
        <v>2</v>
      </c>
      <c r="K312" s="214" t="s">
        <v>351</v>
      </c>
    </row>
    <row r="313" customFormat="false" ht="11.1" hidden="false" customHeight="true" outlineLevel="0" collapsed="false">
      <c r="C313" s="9" t="n">
        <f aca="false">C311+C312</f>
        <v>0</v>
      </c>
      <c r="D313" s="214" t="s">
        <v>58</v>
      </c>
      <c r="F313" s="214"/>
      <c r="G313" s="214"/>
      <c r="H313" s="214"/>
      <c r="J313" s="9" t="n">
        <f aca="false">J311+J312</f>
        <v>2</v>
      </c>
      <c r="K313" s="214" t="s">
        <v>58</v>
      </c>
    </row>
    <row r="314" customFormat="false" ht="11.1" hidden="false" customHeight="true" outlineLevel="0" collapsed="false">
      <c r="C314" s="214"/>
      <c r="D314" s="214"/>
      <c r="E314" s="214"/>
      <c r="F314" s="214"/>
      <c r="G314" s="214"/>
      <c r="H314" s="214"/>
      <c r="I314" s="214"/>
      <c r="J314" s="214"/>
      <c r="K314" s="214"/>
    </row>
    <row r="315" customFormat="false" ht="11.1" hidden="false" customHeight="true" outlineLevel="0" collapsed="false">
      <c r="C315" s="220" t="s">
        <v>352</v>
      </c>
      <c r="D315" s="214"/>
      <c r="F315" s="214"/>
      <c r="G315" s="214"/>
      <c r="H315" s="214"/>
      <c r="I315" s="214"/>
      <c r="J315" s="214"/>
      <c r="K315" s="214"/>
    </row>
    <row r="316" customFormat="false" ht="11.1" hidden="false" customHeight="true" outlineLevel="0" collapsed="false">
      <c r="C316" s="253" t="n">
        <v>15</v>
      </c>
      <c r="D316" s="214" t="s">
        <v>353</v>
      </c>
      <c r="F316" s="214"/>
      <c r="G316" s="214"/>
      <c r="H316" s="214"/>
      <c r="I316" s="214"/>
      <c r="J316" s="214"/>
      <c r="K316" s="214"/>
    </row>
    <row r="317" customFormat="false" ht="11.1" hidden="false" customHeight="true" outlineLevel="0" collapsed="false">
      <c r="C317" s="253" t="n">
        <v>15</v>
      </c>
      <c r="D317" s="214" t="s">
        <v>354</v>
      </c>
      <c r="F317" s="214"/>
      <c r="G317" s="214"/>
      <c r="H317" s="214"/>
      <c r="I317" s="214"/>
      <c r="J317" s="214"/>
      <c r="K317" s="214"/>
    </row>
    <row r="318" customFormat="false" ht="11.1" hidden="false" customHeight="true" outlineLevel="0" collapsed="false">
      <c r="C318" s="253" t="n">
        <v>0</v>
      </c>
      <c r="D318" s="254" t="s">
        <v>355</v>
      </c>
      <c r="F318" s="214"/>
      <c r="G318" s="214"/>
      <c r="H318" s="214"/>
      <c r="I318" s="214"/>
      <c r="J318" s="214"/>
      <c r="K318" s="214"/>
    </row>
    <row r="319" customFormat="false" ht="11.1" hidden="false" customHeight="true" outlineLevel="0" collapsed="false">
      <c r="C319" s="255"/>
      <c r="D319" s="254"/>
      <c r="F319" s="214"/>
      <c r="G319" s="214"/>
      <c r="H319" s="214"/>
      <c r="I319" s="214"/>
      <c r="J319" s="214"/>
      <c r="K319" s="214"/>
    </row>
    <row r="320" customFormat="false" ht="11.1" hidden="false" customHeight="true" outlineLevel="0" collapsed="false">
      <c r="C320" s="255"/>
      <c r="D320" s="254"/>
      <c r="F320" s="214"/>
      <c r="G320" s="214"/>
      <c r="H320" s="214"/>
      <c r="I320" s="214"/>
      <c r="J320" s="214"/>
      <c r="K320" s="214"/>
    </row>
    <row r="321" customFormat="false" ht="11.1" hidden="false" customHeight="true" outlineLevel="0" collapsed="false"/>
    <row r="322" customFormat="false" ht="11.1" hidden="false" customHeight="true" outlineLevel="0" collapsed="false">
      <c r="B322" s="256" t="s">
        <v>356</v>
      </c>
      <c r="C322" s="256"/>
      <c r="D322" s="257"/>
      <c r="E322" s="258" t="str">
        <f aca="false">C273</f>
        <v>JUNIO 2026</v>
      </c>
      <c r="F322" s="257"/>
      <c r="G322" s="257"/>
      <c r="H322" s="257"/>
      <c r="I322" s="214"/>
      <c r="J322" s="214"/>
    </row>
    <row r="323" customFormat="false" ht="11.1" hidden="false" customHeight="true" outlineLevel="0" collapsed="false">
      <c r="B323" s="214"/>
      <c r="C323" s="214"/>
      <c r="D323" s="214"/>
      <c r="E323" s="214"/>
      <c r="F323" s="254"/>
      <c r="G323" s="254"/>
      <c r="H323" s="254"/>
      <c r="I323" s="254"/>
      <c r="J323" s="214"/>
    </row>
    <row r="324" customFormat="false" ht="11.1" hidden="false" customHeight="true" outlineLevel="0" collapsed="false">
      <c r="B324" s="214"/>
      <c r="C324" s="214"/>
      <c r="D324" s="214"/>
      <c r="E324" s="214"/>
      <c r="F324" s="214"/>
      <c r="G324" s="255" t="s">
        <v>357</v>
      </c>
      <c r="H324" s="255"/>
      <c r="I324" s="255"/>
      <c r="J324" s="214"/>
    </row>
    <row r="325" customFormat="false" ht="11.1" hidden="false" customHeight="true" outlineLevel="0" collapsed="false">
      <c r="B325" s="214"/>
      <c r="C325" s="214"/>
      <c r="D325" s="214"/>
      <c r="E325" s="214"/>
      <c r="F325" s="214"/>
      <c r="G325" s="259"/>
      <c r="H325" s="259"/>
      <c r="I325" s="257"/>
      <c r="J325" s="214"/>
    </row>
    <row r="326" customFormat="false" ht="11.1" hidden="false" customHeight="true" outlineLevel="0" collapsed="false">
      <c r="B326" s="214"/>
      <c r="C326" s="214"/>
      <c r="D326" s="254"/>
      <c r="E326" s="254"/>
      <c r="F326" s="260" t="s">
        <v>17</v>
      </c>
      <c r="G326" s="260"/>
      <c r="H326" s="260"/>
      <c r="I326" s="260"/>
      <c r="J326" s="260"/>
    </row>
    <row r="327" customFormat="false" ht="11.1" hidden="false" customHeight="true" outlineLevel="0" collapsed="false">
      <c r="B327" s="214"/>
      <c r="C327" s="214"/>
      <c r="D327" s="254"/>
      <c r="E327" s="254"/>
      <c r="F327" s="254"/>
      <c r="G327" s="255" t="s">
        <v>89</v>
      </c>
      <c r="H327" s="255"/>
      <c r="I327" s="255"/>
      <c r="J327" s="254"/>
    </row>
    <row r="328" customFormat="false" ht="11.1" hidden="false" customHeight="true" outlineLevel="0" collapsed="false">
      <c r="B328" s="214"/>
      <c r="C328" s="214"/>
      <c r="D328" s="248"/>
      <c r="E328" s="248"/>
      <c r="F328" s="248"/>
      <c r="G328" s="214"/>
      <c r="H328" s="214"/>
    </row>
    <row r="329" customFormat="false" ht="11.1" hidden="false" customHeight="true" outlineLevel="0" collapsed="false">
      <c r="C329" s="259"/>
      <c r="D329" s="255" t="s">
        <v>358</v>
      </c>
      <c r="E329" s="255"/>
      <c r="F329" s="255"/>
      <c r="G329" s="259"/>
      <c r="H329" s="259"/>
      <c r="I329" s="255" t="s">
        <v>359</v>
      </c>
      <c r="J329" s="255"/>
      <c r="K329" s="255"/>
    </row>
    <row r="330" customFormat="false" ht="11.1" hidden="false" customHeight="true" outlineLevel="0" collapsed="false">
      <c r="C330" s="259"/>
      <c r="D330" s="261"/>
      <c r="E330" s="261"/>
      <c r="F330" s="261"/>
      <c r="G330" s="259"/>
      <c r="H330" s="259"/>
      <c r="I330" s="261"/>
      <c r="J330" s="261"/>
      <c r="K330" s="259"/>
    </row>
    <row r="331" customFormat="false" ht="11.1" hidden="false" customHeight="true" outlineLevel="0" collapsed="false">
      <c r="C331" s="255" t="s">
        <v>19</v>
      </c>
      <c r="D331" s="255"/>
      <c r="E331" s="255"/>
      <c r="F331" s="255"/>
      <c r="G331" s="255"/>
      <c r="H331" s="259"/>
      <c r="I331" s="260" t="s">
        <v>22</v>
      </c>
      <c r="J331" s="260"/>
      <c r="K331" s="260"/>
    </row>
    <row r="332" customFormat="false" ht="11.1" hidden="false" customHeight="true" outlineLevel="0" collapsed="false">
      <c r="C332" s="255" t="s">
        <v>360</v>
      </c>
      <c r="D332" s="255"/>
      <c r="E332" s="255"/>
      <c r="F332" s="255"/>
      <c r="G332" s="255"/>
      <c r="H332" s="259"/>
      <c r="I332" s="255" t="s">
        <v>90</v>
      </c>
      <c r="J332" s="255"/>
      <c r="K332" s="255"/>
    </row>
    <row r="333" customFormat="false" ht="11.1" hidden="false" customHeight="true" outlineLevel="0" collapsed="false"/>
    <row r="334" customFormat="false" ht="11.1" hidden="false" customHeight="true" outlineLevel="0" collapsed="false"/>
    <row r="335" customFormat="false" ht="11.1" hidden="false" customHeight="true" outlineLevel="0" collapsed="false">
      <c r="A335" s="262" t="s">
        <v>361</v>
      </c>
      <c r="B335" s="262"/>
      <c r="C335" s="262"/>
      <c r="D335" s="262"/>
      <c r="E335" s="262"/>
      <c r="F335" s="262"/>
      <c r="G335" s="262"/>
      <c r="H335" s="262"/>
      <c r="I335" s="262"/>
      <c r="J335" s="262"/>
      <c r="K335" s="262"/>
      <c r="L335" s="262"/>
    </row>
    <row r="336" customFormat="false" ht="11.1" hidden="false" customHeight="true" outlineLevel="0" collapsed="false">
      <c r="F336" s="214" t="s">
        <v>307</v>
      </c>
    </row>
    <row r="337" customFormat="false" ht="11.1" hidden="false" customHeight="true" outlineLevel="0" collapsed="false"/>
    <row r="338" customFormat="false" ht="11.1" hidden="false" customHeight="true" outlineLevel="0" collapsed="false"/>
    <row r="339" customFormat="false" ht="11.1" hidden="false" customHeight="true" outlineLevel="0" collapsed="false">
      <c r="B339" s="214" t="s">
        <v>362</v>
      </c>
      <c r="C339" s="214"/>
      <c r="D339" s="214"/>
      <c r="E339" s="214"/>
      <c r="F339" s="214"/>
      <c r="G339" s="214"/>
      <c r="H339" s="214"/>
      <c r="I339" s="214"/>
      <c r="J339" s="214"/>
      <c r="K339" s="251"/>
    </row>
    <row r="340" customFormat="false" ht="11.1" hidden="false" customHeight="true" outlineLevel="0" collapsed="false">
      <c r="B340" s="214" t="s">
        <v>363</v>
      </c>
      <c r="C340" s="214"/>
      <c r="D340" s="214"/>
      <c r="E340" s="214"/>
      <c r="F340" s="214"/>
      <c r="G340" s="214"/>
      <c r="I340" s="263" t="s">
        <v>59</v>
      </c>
      <c r="J340" s="263" t="str">
        <f aca="false">E322</f>
        <v>JUNIO 2026</v>
      </c>
      <c r="K340" s="263"/>
    </row>
    <row r="341" customFormat="false" ht="11.1" hidden="false" customHeight="true" outlineLevel="0" collapsed="false">
      <c r="B341" s="214"/>
      <c r="C341" s="214"/>
      <c r="D341" s="214"/>
      <c r="E341" s="214"/>
      <c r="F341" s="214"/>
      <c r="G341" s="214"/>
      <c r="H341" s="214"/>
      <c r="I341" s="214"/>
      <c r="J341" s="214"/>
    </row>
    <row r="342" customFormat="false" ht="11.1" hidden="false" customHeight="true" outlineLevel="0" collapsed="false">
      <c r="B342" s="214"/>
      <c r="C342" s="214"/>
      <c r="D342" s="264" t="s">
        <v>364</v>
      </c>
      <c r="E342" s="265"/>
      <c r="F342" s="266"/>
      <c r="G342" s="214"/>
      <c r="H342" s="214"/>
      <c r="I342" s="214"/>
      <c r="J342" s="214"/>
    </row>
    <row r="343" customFormat="false" ht="11.1" hidden="false" customHeight="true" outlineLevel="0" collapsed="false">
      <c r="B343" s="214"/>
      <c r="C343" s="214"/>
      <c r="D343" s="214"/>
      <c r="E343" s="214"/>
      <c r="F343" s="214"/>
      <c r="G343" s="214"/>
      <c r="H343" s="214"/>
      <c r="I343" s="214"/>
      <c r="J343" s="214"/>
    </row>
    <row r="344" customFormat="false" ht="11.1" hidden="false" customHeight="true" outlineLevel="0" collapsed="false">
      <c r="B344" s="214"/>
      <c r="C344" s="214"/>
      <c r="D344" s="214"/>
      <c r="E344" s="214"/>
      <c r="F344" s="214"/>
      <c r="G344" s="214"/>
      <c r="H344" s="214"/>
      <c r="I344" s="254"/>
      <c r="J344" s="254"/>
      <c r="K344" s="37"/>
    </row>
    <row r="345" customFormat="false" ht="11.1" hidden="false" customHeight="true" outlineLevel="0" collapsed="false">
      <c r="B345" s="214"/>
      <c r="C345" s="220" t="s">
        <v>365</v>
      </c>
      <c r="D345" s="214"/>
      <c r="F345" s="214"/>
      <c r="G345" s="214"/>
      <c r="I345" s="254"/>
      <c r="J345" s="254"/>
      <c r="K345" s="37"/>
    </row>
    <row r="346" customFormat="false" ht="11.1" hidden="false" customHeight="true" outlineLevel="0" collapsed="false">
      <c r="B346" s="267"/>
      <c r="C346" s="267"/>
      <c r="D346" s="267"/>
      <c r="E346" s="267"/>
      <c r="F346" s="267"/>
      <c r="G346" s="214"/>
      <c r="I346" s="254"/>
      <c r="J346" s="254"/>
      <c r="K346" s="37"/>
    </row>
    <row r="347" customFormat="false" ht="11.1" hidden="false" customHeight="true" outlineLevel="0" collapsed="false">
      <c r="A347" s="252" t="n">
        <v>1</v>
      </c>
      <c r="B347" s="252" t="s">
        <v>397</v>
      </c>
      <c r="C347" s="268"/>
      <c r="D347" s="268"/>
      <c r="E347" s="268"/>
      <c r="F347" s="269" t="s">
        <v>367</v>
      </c>
      <c r="G347" s="269"/>
      <c r="I347" s="254"/>
      <c r="J347" s="254"/>
      <c r="K347" s="37"/>
    </row>
    <row r="348" customFormat="false" ht="11.1" hidden="false" customHeight="true" outlineLevel="0" collapsed="false">
      <c r="A348" s="252" t="n">
        <v>2</v>
      </c>
      <c r="B348" s="252" t="s">
        <v>22</v>
      </c>
      <c r="C348" s="268"/>
      <c r="D348" s="268"/>
      <c r="E348" s="268"/>
      <c r="F348" s="214" t="s">
        <v>368</v>
      </c>
      <c r="G348" s="214"/>
      <c r="I348" s="254"/>
      <c r="J348" s="254"/>
      <c r="K348" s="37"/>
    </row>
    <row r="349" customFormat="false" ht="11.1" hidden="false" customHeight="true" outlineLevel="0" collapsed="false">
      <c r="A349" s="252" t="n">
        <v>3</v>
      </c>
      <c r="B349" s="252" t="s">
        <v>25</v>
      </c>
      <c r="C349" s="268"/>
      <c r="D349" s="268"/>
      <c r="E349" s="268"/>
      <c r="F349" s="214" t="s">
        <v>369</v>
      </c>
      <c r="G349" s="214"/>
      <c r="I349" s="254"/>
      <c r="J349" s="254"/>
      <c r="K349" s="37"/>
    </row>
    <row r="350" customFormat="false" ht="11.1" hidden="false" customHeight="true" outlineLevel="0" collapsed="false">
      <c r="A350" s="252" t="n">
        <v>4</v>
      </c>
      <c r="B350" s="252" t="s">
        <v>398</v>
      </c>
      <c r="C350" s="268"/>
      <c r="D350" s="268"/>
      <c r="E350" s="268"/>
      <c r="F350" s="252" t="s">
        <v>371</v>
      </c>
      <c r="I350" s="254"/>
      <c r="J350" s="254"/>
      <c r="K350" s="37"/>
    </row>
    <row r="351" customFormat="false" ht="11.1" hidden="false" customHeight="true" outlineLevel="0" collapsed="false">
      <c r="A351" s="252" t="n">
        <v>5</v>
      </c>
      <c r="B351" s="252" t="s">
        <v>17</v>
      </c>
      <c r="C351" s="268"/>
      <c r="D351" s="268"/>
      <c r="E351" s="268"/>
      <c r="F351" s="268" t="s">
        <v>372</v>
      </c>
      <c r="G351" s="214"/>
      <c r="I351" s="254"/>
      <c r="J351" s="254"/>
      <c r="K351" s="267" t="s">
        <v>21</v>
      </c>
    </row>
    <row r="352" customFormat="false" ht="11.1" hidden="false" customHeight="true" outlineLevel="0" collapsed="false">
      <c r="A352" s="252" t="n">
        <v>6</v>
      </c>
      <c r="B352" s="252" t="s">
        <v>26</v>
      </c>
      <c r="C352" s="268"/>
      <c r="D352" s="268"/>
      <c r="E352" s="268"/>
      <c r="F352" s="268" t="s">
        <v>374</v>
      </c>
      <c r="G352" s="214"/>
      <c r="I352" s="254"/>
      <c r="J352" s="254"/>
      <c r="K352" s="37"/>
    </row>
    <row r="353" customFormat="false" ht="11.1" hidden="false" customHeight="true" outlineLevel="0" collapsed="false">
      <c r="B353" s="270"/>
      <c r="C353" s="270"/>
      <c r="D353" s="270"/>
      <c r="E353" s="270"/>
      <c r="F353" s="270"/>
      <c r="G353" s="214"/>
      <c r="H353" s="252"/>
      <c r="I353" s="254"/>
      <c r="J353" s="254"/>
      <c r="K353" s="37"/>
    </row>
    <row r="354" customFormat="false" ht="11.1" hidden="false" customHeight="true" outlineLevel="0" collapsed="false">
      <c r="B354" s="251"/>
      <c r="C354" s="271" t="s">
        <v>375</v>
      </c>
      <c r="D354" s="251"/>
      <c r="E354" s="251"/>
      <c r="F354" s="251"/>
      <c r="G354" s="214"/>
      <c r="H354" s="214"/>
      <c r="I354" s="254"/>
      <c r="J354" s="254" t="s">
        <v>21</v>
      </c>
      <c r="K354" s="254" t="s">
        <v>21</v>
      </c>
    </row>
    <row r="355" customFormat="false" ht="11.1" hidden="false" customHeight="true" outlineLevel="0" collapsed="false">
      <c r="A355" s="252" t="n">
        <v>1</v>
      </c>
      <c r="B355" s="272" t="s">
        <v>27</v>
      </c>
      <c r="C355" s="251"/>
      <c r="D355" s="273"/>
      <c r="E355" s="251"/>
      <c r="F355" s="251"/>
      <c r="G355" s="214"/>
      <c r="H355" s="214"/>
      <c r="I355" s="254"/>
      <c r="J355" s="254" t="s">
        <v>21</v>
      </c>
      <c r="K355" s="254" t="s">
        <v>21</v>
      </c>
    </row>
    <row r="356" customFormat="false" ht="11.1" hidden="false" customHeight="true" outlineLevel="0" collapsed="false">
      <c r="A356" s="252" t="n">
        <v>2</v>
      </c>
      <c r="B356" s="272" t="s">
        <v>399</v>
      </c>
      <c r="C356" s="252"/>
      <c r="D356" s="274"/>
      <c r="E356" s="252"/>
      <c r="F356" s="252"/>
      <c r="G356" s="214"/>
      <c r="H356" s="214"/>
      <c r="I356" s="254"/>
      <c r="J356" s="254"/>
      <c r="K356" s="37"/>
    </row>
    <row r="357" customFormat="false" ht="11.1" hidden="false" customHeight="true" outlineLevel="0" collapsed="false">
      <c r="A357" s="252" t="n">
        <v>3</v>
      </c>
      <c r="B357" s="272" t="s">
        <v>29</v>
      </c>
      <c r="D357" s="274"/>
      <c r="E357" s="252"/>
      <c r="F357" s="252"/>
      <c r="G357" s="214"/>
      <c r="H357" s="214"/>
      <c r="I357" s="254"/>
      <c r="J357" s="254"/>
      <c r="K357" s="37"/>
    </row>
    <row r="358" customFormat="false" ht="11.1" hidden="false" customHeight="true" outlineLevel="0" collapsed="false">
      <c r="A358" s="252" t="n">
        <v>4</v>
      </c>
      <c r="B358" s="272" t="s">
        <v>30</v>
      </c>
      <c r="C358" s="252"/>
      <c r="D358" s="274"/>
      <c r="E358" s="252"/>
      <c r="F358" s="252"/>
      <c r="G358" s="214"/>
      <c r="H358" s="214"/>
      <c r="I358" s="254"/>
      <c r="J358" s="254"/>
      <c r="K358" s="37"/>
    </row>
    <row r="359" customFormat="false" ht="11.1" hidden="false" customHeight="true" outlineLevel="0" collapsed="false">
      <c r="A359" s="252" t="n">
        <v>5</v>
      </c>
      <c r="B359" s="272" t="s">
        <v>31</v>
      </c>
      <c r="C359" s="252"/>
      <c r="D359" s="274"/>
      <c r="E359" s="252"/>
      <c r="F359" s="252"/>
      <c r="G359" s="214"/>
      <c r="H359" s="214"/>
      <c r="I359" s="254"/>
      <c r="J359" s="254"/>
      <c r="K359" s="37"/>
    </row>
    <row r="360" customFormat="false" ht="11.1" hidden="false" customHeight="true" outlineLevel="0" collapsed="false">
      <c r="A360" s="252" t="n">
        <v>6</v>
      </c>
      <c r="B360" s="272" t="s">
        <v>32</v>
      </c>
      <c r="C360" s="252"/>
      <c r="D360" s="274"/>
      <c r="E360" s="252"/>
      <c r="F360" s="252"/>
      <c r="G360" s="214"/>
      <c r="H360" s="214"/>
      <c r="I360" s="254"/>
      <c r="J360" s="254"/>
      <c r="K360" s="37"/>
    </row>
    <row r="361" customFormat="false" ht="11.1" hidden="false" customHeight="true" outlineLevel="0" collapsed="false">
      <c r="B361" s="252"/>
      <c r="C361" s="252"/>
      <c r="D361" s="252"/>
      <c r="E361" s="252"/>
      <c r="F361" s="252"/>
      <c r="G361" s="214"/>
      <c r="H361" s="214"/>
      <c r="I361" s="254"/>
      <c r="J361" s="254"/>
      <c r="K361" s="37"/>
    </row>
    <row r="362" customFormat="false" ht="11.1" hidden="false" customHeight="true" outlineLevel="0" collapsed="false">
      <c r="B362" s="252"/>
      <c r="C362" s="271" t="s">
        <v>381</v>
      </c>
      <c r="D362" s="252"/>
      <c r="E362" s="252"/>
      <c r="F362" s="252"/>
      <c r="G362" s="214"/>
      <c r="H362" s="214"/>
      <c r="I362" s="254"/>
      <c r="J362" s="254"/>
      <c r="K362" s="37"/>
    </row>
    <row r="363" customFormat="false" ht="11.1" hidden="false" customHeight="true" outlineLevel="0" collapsed="false">
      <c r="A363" s="252" t="n">
        <v>1</v>
      </c>
      <c r="B363" s="252" t="s">
        <v>400</v>
      </c>
      <c r="C363" s="252"/>
      <c r="D363" s="252"/>
      <c r="E363" s="252"/>
      <c r="F363" s="252"/>
      <c r="G363" s="214" t="s">
        <v>21</v>
      </c>
      <c r="H363" s="214"/>
      <c r="I363" s="254"/>
      <c r="J363" s="254"/>
      <c r="K363" s="37"/>
    </row>
    <row r="364" customFormat="false" ht="11.1" hidden="false" customHeight="true" outlineLevel="0" collapsed="false">
      <c r="A364" s="252" t="n">
        <v>2</v>
      </c>
      <c r="B364" s="252" t="s">
        <v>34</v>
      </c>
      <c r="C364" s="252"/>
      <c r="D364" s="252"/>
      <c r="E364" s="252"/>
      <c r="F364" s="252"/>
      <c r="G364" s="214"/>
      <c r="H364" s="214"/>
      <c r="I364" s="254"/>
      <c r="J364" s="254"/>
      <c r="K364" s="37"/>
    </row>
    <row r="365" customFormat="false" ht="11.1" hidden="false" customHeight="true" outlineLevel="0" collapsed="false">
      <c r="A365" s="252" t="n">
        <v>3</v>
      </c>
      <c r="B365" s="252" t="s">
        <v>35</v>
      </c>
      <c r="C365" s="252"/>
      <c r="D365" s="252"/>
      <c r="E365" s="252"/>
      <c r="F365" s="252"/>
      <c r="G365" s="214"/>
      <c r="H365" s="214"/>
      <c r="I365" s="254"/>
      <c r="J365" s="254"/>
      <c r="K365" s="37"/>
    </row>
    <row r="366" customFormat="false" ht="11.1" hidden="false" customHeight="true" outlineLevel="0" collapsed="false">
      <c r="A366" s="316" t="n">
        <v>4</v>
      </c>
      <c r="B366" s="316" t="s">
        <v>36</v>
      </c>
      <c r="C366" s="252"/>
      <c r="D366" s="252"/>
      <c r="E366" s="316" t="s">
        <v>37</v>
      </c>
      <c r="F366" s="252"/>
      <c r="G366" s="214"/>
      <c r="H366" s="214"/>
      <c r="I366" s="254"/>
      <c r="J366" s="254"/>
      <c r="K366" s="37"/>
    </row>
    <row r="367" customFormat="false" ht="11.1" hidden="false" customHeight="true" outlineLevel="0" collapsed="false">
      <c r="A367" s="316" t="n">
        <v>5</v>
      </c>
      <c r="B367" s="316" t="s">
        <v>401</v>
      </c>
      <c r="C367" s="252"/>
      <c r="D367" s="252"/>
      <c r="E367" s="317" t="s">
        <v>39</v>
      </c>
      <c r="F367" s="252"/>
      <c r="G367" s="214"/>
      <c r="H367" s="214"/>
      <c r="I367" s="254"/>
      <c r="J367" s="254"/>
      <c r="K367" s="37"/>
    </row>
    <row r="368" customFormat="false" ht="11.1" hidden="false" customHeight="true" outlineLevel="0" collapsed="false">
      <c r="A368" s="316" t="n">
        <v>6</v>
      </c>
      <c r="B368" s="316" t="s">
        <v>402</v>
      </c>
      <c r="C368" s="214"/>
      <c r="D368" s="214"/>
      <c r="E368" s="317" t="s">
        <v>403</v>
      </c>
      <c r="F368" s="214"/>
      <c r="G368" s="214"/>
      <c r="H368" s="214"/>
      <c r="I368" s="254"/>
      <c r="J368" s="254"/>
      <c r="K368" s="37"/>
    </row>
    <row r="369" customFormat="false" ht="11.1" hidden="false" customHeight="true" outlineLevel="0" collapsed="false">
      <c r="B369" s="275"/>
      <c r="C369" s="275"/>
      <c r="D369" s="275"/>
      <c r="F369" s="275"/>
      <c r="G369" s="254"/>
      <c r="H369" s="254"/>
      <c r="I369" s="254"/>
      <c r="J369" s="254"/>
      <c r="K369" s="37"/>
    </row>
    <row r="370" customFormat="false" ht="11.1" hidden="false" customHeight="true" outlineLevel="0" collapsed="false">
      <c r="B370" s="254"/>
      <c r="C370" s="254"/>
      <c r="D370" s="254"/>
      <c r="E370" s="254"/>
      <c r="F370" s="254"/>
      <c r="G370" s="254"/>
      <c r="H370" s="254"/>
      <c r="I370" s="254"/>
      <c r="J370" s="254"/>
      <c r="K370" s="37"/>
    </row>
    <row r="371" customFormat="false" ht="11.1" hidden="false" customHeight="true" outlineLevel="0" collapsed="false">
      <c r="B371" s="254"/>
      <c r="C371" s="254"/>
      <c r="D371" s="254"/>
      <c r="E371" s="276" t="s">
        <v>387</v>
      </c>
      <c r="F371" s="254"/>
      <c r="G371" s="254"/>
      <c r="H371" s="254"/>
      <c r="I371" s="254"/>
      <c r="J371" s="254"/>
      <c r="K371" s="37"/>
    </row>
    <row r="372" customFormat="false" ht="11.1" hidden="false" customHeight="true" outlineLevel="0" collapsed="false">
      <c r="B372" s="254"/>
      <c r="C372" s="254"/>
      <c r="D372" s="254"/>
      <c r="E372" s="254"/>
      <c r="F372" s="254"/>
      <c r="G372" s="254"/>
      <c r="H372" s="254"/>
      <c r="I372" s="254"/>
      <c r="J372" s="254"/>
      <c r="K372" s="37"/>
    </row>
    <row r="373" customFormat="false" ht="11.1" hidden="false" customHeight="true" outlineLevel="0" collapsed="false">
      <c r="B373" s="254"/>
      <c r="C373" s="254"/>
      <c r="D373" s="254"/>
      <c r="E373" s="254"/>
      <c r="F373" s="254"/>
      <c r="G373" s="254"/>
      <c r="H373" s="254"/>
      <c r="I373" s="254"/>
      <c r="J373" s="254"/>
      <c r="K373" s="37"/>
    </row>
    <row r="374" customFormat="false" ht="11.1" hidden="false" customHeight="true" outlineLevel="0" collapsed="false">
      <c r="B374" s="214"/>
      <c r="C374" s="214"/>
      <c r="D374" s="254"/>
      <c r="E374" s="254"/>
      <c r="F374" s="254"/>
      <c r="G374" s="254"/>
      <c r="H374" s="254"/>
      <c r="I374" s="254"/>
      <c r="J374" s="254"/>
    </row>
    <row r="375" customFormat="false" ht="11.1" hidden="false" customHeight="true" outlineLevel="0" collapsed="false">
      <c r="B375" s="277" t="s">
        <v>388</v>
      </c>
      <c r="C375" s="277"/>
      <c r="D375" s="277"/>
      <c r="E375" s="277"/>
      <c r="F375" s="277"/>
      <c r="G375" s="277"/>
      <c r="H375" s="277"/>
      <c r="I375" s="277"/>
      <c r="J375" s="277"/>
      <c r="K375" s="277"/>
    </row>
    <row r="376" customFormat="false" ht="11.1" hidden="false" customHeight="true" outlineLevel="0" collapsed="false">
      <c r="B376" s="214"/>
      <c r="C376" s="214"/>
      <c r="D376" s="254"/>
      <c r="E376" s="254"/>
      <c r="F376" s="254"/>
      <c r="G376" s="254"/>
      <c r="H376" s="254"/>
      <c r="I376" s="254"/>
      <c r="J376" s="254"/>
    </row>
    <row r="377" customFormat="false" ht="11.1" hidden="false" customHeight="true" outlineLevel="0" collapsed="false">
      <c r="B377" s="278" t="s">
        <v>389</v>
      </c>
      <c r="C377" s="278"/>
      <c r="D377" s="278"/>
      <c r="E377" s="278"/>
      <c r="F377" s="279" t="s">
        <v>390</v>
      </c>
      <c r="G377" s="280" t="s">
        <v>59</v>
      </c>
      <c r="H377" s="280"/>
      <c r="I377" s="281" t="s">
        <v>391</v>
      </c>
      <c r="J377" s="282" t="s">
        <v>392</v>
      </c>
      <c r="K377" s="283"/>
      <c r="L377" s="284"/>
    </row>
    <row r="378" customFormat="false" ht="11.1" hidden="false" customHeight="true" outlineLevel="0" collapsed="false">
      <c r="B378" s="314"/>
      <c r="C378" s="314"/>
      <c r="D378" s="314"/>
      <c r="E378" s="314"/>
      <c r="F378" s="286"/>
      <c r="G378" s="287"/>
      <c r="H378" s="287"/>
      <c r="I378" s="288"/>
      <c r="J378" s="289"/>
      <c r="K378" s="289"/>
      <c r="L378" s="37"/>
    </row>
    <row r="379" customFormat="false" ht="11.1" hidden="false" customHeight="true" outlineLevel="0" collapsed="false">
      <c r="B379" s="290"/>
      <c r="C379" s="290"/>
      <c r="D379" s="290"/>
      <c r="E379" s="290"/>
      <c r="F379" s="291"/>
      <c r="G379" s="292"/>
      <c r="H379" s="292"/>
      <c r="I379" s="288"/>
      <c r="J379" s="293"/>
      <c r="K379" s="293"/>
    </row>
    <row r="380" customFormat="false" ht="11.1" hidden="false" customHeight="true" outlineLevel="0" collapsed="false">
      <c r="B380" s="294"/>
      <c r="C380" s="294"/>
      <c r="D380" s="294"/>
      <c r="E380" s="294"/>
      <c r="F380" s="295"/>
      <c r="G380" s="296"/>
      <c r="H380" s="296"/>
      <c r="I380" s="297"/>
      <c r="J380" s="298"/>
      <c r="K380" s="298"/>
    </row>
    <row r="381" customFormat="false" ht="11.1" hidden="false" customHeight="true" outlineLevel="0" collapsed="false">
      <c r="B381" s="294"/>
      <c r="C381" s="294"/>
      <c r="D381" s="294"/>
      <c r="E381" s="294"/>
      <c r="F381" s="295"/>
      <c r="G381" s="296"/>
      <c r="H381" s="296"/>
      <c r="I381" s="297"/>
      <c r="J381" s="298"/>
      <c r="K381" s="298"/>
    </row>
    <row r="382" customFormat="false" ht="11.1" hidden="false" customHeight="true" outlineLevel="0" collapsed="false">
      <c r="B382" s="299"/>
      <c r="C382" s="299"/>
      <c r="D382" s="299"/>
      <c r="E382" s="299"/>
      <c r="F382" s="300"/>
      <c r="G382" s="301"/>
      <c r="H382" s="302"/>
      <c r="I382" s="303"/>
      <c r="J382" s="304"/>
      <c r="K382" s="304"/>
    </row>
    <row r="383" customFormat="false" ht="11.1" hidden="false" customHeight="true" outlineLevel="0" collapsed="false">
      <c r="B383" s="305"/>
      <c r="C383" s="305"/>
      <c r="D383" s="305"/>
      <c r="E383" s="255"/>
      <c r="F383" s="306"/>
      <c r="G383" s="306"/>
      <c r="H383" s="255"/>
      <c r="I383" s="307"/>
      <c r="J383" s="307"/>
      <c r="K383" s="307"/>
    </row>
    <row r="384" customFormat="false" ht="11.1" hidden="false" customHeight="true" outlineLevel="0" collapsed="false">
      <c r="B384" s="305"/>
      <c r="C384" s="305"/>
      <c r="D384" s="305"/>
      <c r="E384" s="255"/>
      <c r="F384" s="306"/>
      <c r="G384" s="306"/>
      <c r="H384" s="255"/>
      <c r="I384" s="307"/>
      <c r="J384" s="307"/>
      <c r="K384" s="307"/>
    </row>
    <row r="385" customFormat="false" ht="11.1" hidden="false" customHeight="true" outlineLevel="0" collapsed="false">
      <c r="B385" s="305"/>
      <c r="C385" s="305"/>
      <c r="D385" s="305"/>
      <c r="E385" s="255"/>
      <c r="F385" s="306"/>
      <c r="G385" s="306"/>
      <c r="H385" s="255"/>
      <c r="I385" s="307"/>
      <c r="J385" s="307"/>
      <c r="K385" s="307"/>
    </row>
    <row r="386" customFormat="false" ht="11.1" hidden="false" customHeight="true" outlineLevel="0" collapsed="false">
      <c r="B386" s="305"/>
      <c r="C386" s="305"/>
      <c r="D386" s="305"/>
      <c r="E386" s="255"/>
      <c r="F386" s="306"/>
      <c r="G386" s="306"/>
      <c r="H386" s="255"/>
      <c r="I386" s="307"/>
      <c r="J386" s="307"/>
      <c r="K386" s="307"/>
    </row>
    <row r="387" customFormat="false" ht="11.1" hidden="false" customHeight="true" outlineLevel="0" collapsed="false">
      <c r="B387" s="305"/>
      <c r="C387" s="305"/>
      <c r="D387" s="305"/>
      <c r="E387" s="255"/>
      <c r="F387" s="306"/>
      <c r="G387" s="306"/>
      <c r="H387" s="255"/>
      <c r="I387" s="307"/>
      <c r="J387" s="307"/>
      <c r="K387" s="307"/>
    </row>
    <row r="388" customFormat="false" ht="11.1" hidden="false" customHeight="true" outlineLevel="0" collapsed="false">
      <c r="B388" s="308"/>
      <c r="C388" s="309"/>
      <c r="D388" s="309"/>
      <c r="E388" s="309"/>
      <c r="F388" s="309"/>
      <c r="G388" s="309"/>
      <c r="H388" s="309"/>
      <c r="I388" s="309"/>
      <c r="J388" s="309"/>
      <c r="K388" s="310"/>
    </row>
    <row r="389" customFormat="false" ht="11.1" hidden="false" customHeight="true" outlineLevel="0" collapsed="false">
      <c r="B389" s="308"/>
      <c r="C389" s="309"/>
      <c r="D389" s="309"/>
      <c r="E389" s="309"/>
      <c r="F389" s="309"/>
      <c r="G389" s="309"/>
      <c r="H389" s="309"/>
      <c r="I389" s="309"/>
      <c r="J389" s="309"/>
      <c r="K389" s="310"/>
    </row>
    <row r="390" customFormat="false" ht="11.1" hidden="false" customHeight="true" outlineLevel="0" collapsed="false">
      <c r="B390" s="311"/>
      <c r="C390" s="312"/>
      <c r="D390" s="312"/>
      <c r="E390" s="312"/>
      <c r="F390" s="312"/>
      <c r="G390" s="312"/>
      <c r="H390" s="312"/>
      <c r="I390" s="312"/>
      <c r="J390" s="312"/>
      <c r="K390" s="313"/>
    </row>
    <row r="391" customFormat="false" ht="11.1" hidden="false" customHeight="true" outlineLevel="0" collapsed="false">
      <c r="B391" s="259"/>
      <c r="C391" s="309"/>
      <c r="D391" s="309"/>
      <c r="E391" s="309"/>
      <c r="F391" s="309"/>
      <c r="G391" s="309"/>
      <c r="H391" s="309"/>
      <c r="I391" s="309"/>
      <c r="J391" s="309"/>
      <c r="K391" s="309"/>
    </row>
  </sheetData>
  <mergeCells count="158">
    <mergeCell ref="C3:J3"/>
    <mergeCell ref="A4:L4"/>
    <mergeCell ref="C8:E8"/>
    <mergeCell ref="J9:J11"/>
    <mergeCell ref="B10:B11"/>
    <mergeCell ref="I10:I11"/>
    <mergeCell ref="I36:J36"/>
    <mergeCell ref="G59:I59"/>
    <mergeCell ref="F61:J61"/>
    <mergeCell ref="G62:I62"/>
    <mergeCell ref="D63:F63"/>
    <mergeCell ref="D64:F64"/>
    <mergeCell ref="D65:F65"/>
    <mergeCell ref="I65:K65"/>
    <mergeCell ref="C67:G67"/>
    <mergeCell ref="I67:K67"/>
    <mergeCell ref="C68:G68"/>
    <mergeCell ref="I68:K68"/>
    <mergeCell ref="A71:L71"/>
    <mergeCell ref="B82:F82"/>
    <mergeCell ref="B89:F89"/>
    <mergeCell ref="B111:K111"/>
    <mergeCell ref="B113:E113"/>
    <mergeCell ref="G113:H113"/>
    <mergeCell ref="B114:E114"/>
    <mergeCell ref="G114:H114"/>
    <mergeCell ref="J114:K114"/>
    <mergeCell ref="B115:E115"/>
    <mergeCell ref="G115:H115"/>
    <mergeCell ref="J115:K115"/>
    <mergeCell ref="B116:E116"/>
    <mergeCell ref="G116:H116"/>
    <mergeCell ref="J116:K116"/>
    <mergeCell ref="B117:E117"/>
    <mergeCell ref="G117:H117"/>
    <mergeCell ref="J117:K117"/>
    <mergeCell ref="B118:E118"/>
    <mergeCell ref="J118:K118"/>
    <mergeCell ref="B119:D119"/>
    <mergeCell ref="F119:G119"/>
    <mergeCell ref="I119:K119"/>
    <mergeCell ref="B120:D120"/>
    <mergeCell ref="F120:G120"/>
    <mergeCell ref="I120:K120"/>
    <mergeCell ref="B121:D121"/>
    <mergeCell ref="F121:G121"/>
    <mergeCell ref="I121:K121"/>
    <mergeCell ref="B122:D122"/>
    <mergeCell ref="F122:G122"/>
    <mergeCell ref="I122:K122"/>
    <mergeCell ref="B123:D123"/>
    <mergeCell ref="F123:G123"/>
    <mergeCell ref="I123:K123"/>
    <mergeCell ref="C135:J135"/>
    <mergeCell ref="A136:L136"/>
    <mergeCell ref="C140:E140"/>
    <mergeCell ref="J141:J143"/>
    <mergeCell ref="B142:B143"/>
    <mergeCell ref="I142:I143"/>
    <mergeCell ref="I168:J168"/>
    <mergeCell ref="G191:I191"/>
    <mergeCell ref="F193:J193"/>
    <mergeCell ref="G194:I194"/>
    <mergeCell ref="D195:F195"/>
    <mergeCell ref="D196:F196"/>
    <mergeCell ref="D197:F197"/>
    <mergeCell ref="I197:K197"/>
    <mergeCell ref="C199:G199"/>
    <mergeCell ref="I199:K199"/>
    <mergeCell ref="C200:G200"/>
    <mergeCell ref="I200:K200"/>
    <mergeCell ref="A203:L203"/>
    <mergeCell ref="B214:F214"/>
    <mergeCell ref="B221:F221"/>
    <mergeCell ref="B243:K243"/>
    <mergeCell ref="B245:E245"/>
    <mergeCell ref="G245:H245"/>
    <mergeCell ref="B246:E246"/>
    <mergeCell ref="G246:H246"/>
    <mergeCell ref="J246:K246"/>
    <mergeCell ref="B247:E247"/>
    <mergeCell ref="G247:H247"/>
    <mergeCell ref="J247:K247"/>
    <mergeCell ref="B248:E248"/>
    <mergeCell ref="G248:H248"/>
    <mergeCell ref="J248:K248"/>
    <mergeCell ref="B249:E249"/>
    <mergeCell ref="G249:H249"/>
    <mergeCell ref="J249:K249"/>
    <mergeCell ref="B250:E250"/>
    <mergeCell ref="J250:K250"/>
    <mergeCell ref="B251:D251"/>
    <mergeCell ref="F251:G251"/>
    <mergeCell ref="I251:K251"/>
    <mergeCell ref="B252:D252"/>
    <mergeCell ref="F252:G252"/>
    <mergeCell ref="I252:K252"/>
    <mergeCell ref="B253:D253"/>
    <mergeCell ref="F253:G253"/>
    <mergeCell ref="I253:K253"/>
    <mergeCell ref="B254:D254"/>
    <mergeCell ref="F254:G254"/>
    <mergeCell ref="I254:K254"/>
    <mergeCell ref="B255:D255"/>
    <mergeCell ref="F255:G255"/>
    <mergeCell ref="I255:K255"/>
    <mergeCell ref="C268:J268"/>
    <mergeCell ref="A269:L269"/>
    <mergeCell ref="C273:E273"/>
    <mergeCell ref="J274:J276"/>
    <mergeCell ref="B275:B276"/>
    <mergeCell ref="I275:I276"/>
    <mergeCell ref="I301:J301"/>
    <mergeCell ref="G324:I324"/>
    <mergeCell ref="F326:J326"/>
    <mergeCell ref="G327:I327"/>
    <mergeCell ref="D328:F328"/>
    <mergeCell ref="D329:F329"/>
    <mergeCell ref="I329:K329"/>
    <mergeCell ref="C331:G331"/>
    <mergeCell ref="I331:K331"/>
    <mergeCell ref="C332:G332"/>
    <mergeCell ref="I332:K332"/>
    <mergeCell ref="A335:L335"/>
    <mergeCell ref="B346:F346"/>
    <mergeCell ref="B353:F353"/>
    <mergeCell ref="B375:K375"/>
    <mergeCell ref="B377:E377"/>
    <mergeCell ref="G377:H377"/>
    <mergeCell ref="B378:E378"/>
    <mergeCell ref="G378:H378"/>
    <mergeCell ref="J378:K378"/>
    <mergeCell ref="B379:E379"/>
    <mergeCell ref="G379:H379"/>
    <mergeCell ref="J379:K379"/>
    <mergeCell ref="B380:E380"/>
    <mergeCell ref="G380:H380"/>
    <mergeCell ref="J380:K380"/>
    <mergeCell ref="B381:E381"/>
    <mergeCell ref="G381:H381"/>
    <mergeCell ref="J381:K381"/>
    <mergeCell ref="B382:E382"/>
    <mergeCell ref="J382:K382"/>
    <mergeCell ref="B383:D383"/>
    <mergeCell ref="F383:G383"/>
    <mergeCell ref="I383:K383"/>
    <mergeCell ref="B384:D384"/>
    <mergeCell ref="F384:G384"/>
    <mergeCell ref="I384:K384"/>
    <mergeCell ref="B385:D385"/>
    <mergeCell ref="F385:G385"/>
    <mergeCell ref="I385:K385"/>
    <mergeCell ref="B386:D386"/>
    <mergeCell ref="F386:G386"/>
    <mergeCell ref="I386:K386"/>
    <mergeCell ref="B387:D387"/>
    <mergeCell ref="F387:G387"/>
    <mergeCell ref="I387:K387"/>
  </mergeCells>
  <printOptions headings="false" gridLines="false" gridLinesSet="true" horizontalCentered="false" verticalCentered="false"/>
  <pageMargins left="0.315277777777778" right="0.315277777777778" top="0.354166666666667" bottom="0.354166666666667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4" activeCellId="0" sqref="H14"/>
    </sheetView>
  </sheetViews>
  <sheetFormatPr defaultColWidth="10.95703125" defaultRowHeight="15" zeroHeight="false" outlineLevelRow="0" outlineLevelCol="0"/>
  <cols>
    <col collapsed="false" customWidth="true" hidden="false" outlineLevel="0" max="1" min="1" style="1" width="4.13"/>
    <col collapsed="false" customWidth="true" hidden="false" outlineLevel="0" max="2" min="2" style="1" width="8.69"/>
    <col collapsed="false" customWidth="true" hidden="false" outlineLevel="0" max="3" min="3" style="1" width="11.98"/>
    <col collapsed="false" customWidth="true" hidden="false" outlineLevel="0" max="4" min="4" style="1" width="7.27"/>
    <col collapsed="false" customWidth="true" hidden="false" outlineLevel="0" max="5" min="5" style="1" width="31.11"/>
    <col collapsed="false" customWidth="true" hidden="false" outlineLevel="0" max="6" min="6" style="1" width="18.13"/>
    <col collapsed="false" customWidth="true" hidden="false" outlineLevel="0" max="7" min="7" style="318" width="14.98"/>
    <col collapsed="false" customWidth="true" hidden="false" outlineLevel="0" max="8" min="8" style="1" width="15.7"/>
    <col collapsed="false" customWidth="true" hidden="false" outlineLevel="0" max="24" min="9" style="1" width="6.39"/>
  </cols>
  <sheetData>
    <row r="1" customFormat="false" ht="37.5" hidden="false" customHeight="true" outlineLevel="0" collapsed="false">
      <c r="D1" s="4" t="s">
        <v>44</v>
      </c>
      <c r="E1" s="4"/>
      <c r="F1" s="4"/>
    </row>
    <row r="2" customFormat="false" ht="24" hidden="false" customHeight="true" outlineLevel="0" collapsed="false">
      <c r="D2" s="319" t="s">
        <v>404</v>
      </c>
      <c r="E2" s="319"/>
      <c r="F2" s="319"/>
    </row>
    <row r="3" customFormat="false" ht="19.7" hidden="false" customHeight="false" outlineLevel="0" collapsed="false">
      <c r="D3" s="320" t="s">
        <v>405</v>
      </c>
      <c r="E3" s="320"/>
      <c r="F3" s="318"/>
    </row>
    <row r="4" customFormat="false" ht="15" hidden="false" customHeight="false" outlineLevel="0" collapsed="false">
      <c r="A4" s="321" t="s">
        <v>406</v>
      </c>
      <c r="B4" s="322" t="s">
        <v>407</v>
      </c>
      <c r="C4" s="323" t="s">
        <v>59</v>
      </c>
      <c r="D4" s="323" t="s">
        <v>408</v>
      </c>
      <c r="E4" s="321" t="s">
        <v>409</v>
      </c>
      <c r="F4" s="321" t="s">
        <v>410</v>
      </c>
      <c r="G4" s="321" t="s">
        <v>411</v>
      </c>
      <c r="H4" s="324" t="s">
        <v>412</v>
      </c>
    </row>
    <row r="5" customFormat="false" ht="15" hidden="false" customHeight="false" outlineLevel="0" collapsed="false">
      <c r="A5" s="325" t="n">
        <v>1</v>
      </c>
      <c r="B5" s="27" t="s">
        <v>413</v>
      </c>
      <c r="C5" s="326" t="n">
        <v>46036</v>
      </c>
      <c r="D5" s="327" t="n">
        <v>2753</v>
      </c>
      <c r="E5" s="328" t="s">
        <v>414</v>
      </c>
      <c r="F5" s="6" t="s">
        <v>415</v>
      </c>
      <c r="G5" s="328" t="s">
        <v>416</v>
      </c>
      <c r="H5" s="329" t="n">
        <v>45899</v>
      </c>
    </row>
    <row r="6" customFormat="false" ht="15" hidden="false" customHeight="false" outlineLevel="0" collapsed="false">
      <c r="A6" s="325" t="n">
        <v>2</v>
      </c>
      <c r="B6" s="27" t="s">
        <v>417</v>
      </c>
      <c r="C6" s="326" t="n">
        <v>46036</v>
      </c>
      <c r="D6" s="327" t="n">
        <v>2754</v>
      </c>
      <c r="E6" s="6" t="s">
        <v>418</v>
      </c>
      <c r="F6" s="6" t="s">
        <v>419</v>
      </c>
      <c r="G6" s="328" t="s">
        <v>420</v>
      </c>
      <c r="H6" s="329" t="n">
        <v>45930</v>
      </c>
    </row>
    <row r="7" customFormat="false" ht="15" hidden="false" customHeight="false" outlineLevel="0" collapsed="false">
      <c r="A7" s="325" t="n">
        <v>3</v>
      </c>
      <c r="B7" s="330" t="s">
        <v>421</v>
      </c>
      <c r="C7" s="331" t="n">
        <v>46045</v>
      </c>
      <c r="D7" s="327" t="n">
        <v>2755</v>
      </c>
      <c r="E7" s="91" t="s">
        <v>422</v>
      </c>
      <c r="F7" s="91" t="s">
        <v>423</v>
      </c>
      <c r="G7" s="328" t="s">
        <v>424</v>
      </c>
      <c r="H7" s="332" t="n">
        <v>45960</v>
      </c>
    </row>
    <row r="8" customFormat="false" ht="15" hidden="false" customHeight="false" outlineLevel="0" collapsed="false">
      <c r="A8" s="325" t="n">
        <v>4</v>
      </c>
      <c r="B8" s="330" t="s">
        <v>425</v>
      </c>
      <c r="C8" s="331" t="n">
        <v>46046</v>
      </c>
      <c r="D8" s="327" t="n">
        <v>2756</v>
      </c>
      <c r="E8" s="91" t="s">
        <v>426</v>
      </c>
      <c r="F8" s="91" t="s">
        <v>427</v>
      </c>
      <c r="G8" s="328" t="s">
        <v>428</v>
      </c>
      <c r="H8" s="332" t="n">
        <v>45986</v>
      </c>
    </row>
    <row r="9" customFormat="false" ht="15" hidden="false" customHeight="false" outlineLevel="0" collapsed="false">
      <c r="A9" s="333" t="n">
        <v>5</v>
      </c>
      <c r="B9" s="330" t="s">
        <v>429</v>
      </c>
      <c r="C9" s="331" t="n">
        <v>46092</v>
      </c>
      <c r="D9" s="327" t="n">
        <v>2757</v>
      </c>
      <c r="E9" s="91" t="s">
        <v>430</v>
      </c>
      <c r="F9" s="91" t="s">
        <v>431</v>
      </c>
      <c r="G9" s="328" t="s">
        <v>420</v>
      </c>
      <c r="H9" s="334" t="n">
        <v>46053</v>
      </c>
    </row>
    <row r="10" customFormat="false" ht="15" hidden="false" customHeight="false" outlineLevel="0" collapsed="false">
      <c r="A10" s="16" t="n">
        <v>6</v>
      </c>
      <c r="B10" s="330" t="s">
        <v>432</v>
      </c>
      <c r="C10" s="331" t="n">
        <v>265330</v>
      </c>
      <c r="D10" s="327" t="n">
        <v>2758</v>
      </c>
      <c r="E10" s="333" t="s">
        <v>433</v>
      </c>
      <c r="F10" s="335" t="s">
        <v>434</v>
      </c>
      <c r="G10" s="336" t="s">
        <v>435</v>
      </c>
      <c r="H10" s="334" t="n">
        <v>46080</v>
      </c>
    </row>
    <row r="11" customFormat="false" ht="15" hidden="false" customHeight="false" outlineLevel="0" collapsed="false">
      <c r="A11" s="16"/>
      <c r="B11" s="330"/>
      <c r="C11" s="330"/>
      <c r="D11" s="327" t="n">
        <v>2759</v>
      </c>
      <c r="E11" s="335"/>
      <c r="F11" s="335"/>
      <c r="G11" s="336"/>
      <c r="H11" s="334" t="n">
        <v>46111</v>
      </c>
    </row>
    <row r="12" customFormat="false" ht="15" hidden="false" customHeight="false" outlineLevel="0" collapsed="false">
      <c r="A12" s="16"/>
      <c r="B12" s="330"/>
      <c r="C12" s="330"/>
      <c r="D12" s="327" t="n">
        <v>2760</v>
      </c>
      <c r="E12" s="335"/>
      <c r="F12" s="335"/>
      <c r="G12" s="336"/>
      <c r="H12" s="334" t="n">
        <v>46140</v>
      </c>
    </row>
    <row r="13" customFormat="false" ht="15" hidden="false" customHeight="false" outlineLevel="0" collapsed="false">
      <c r="A13" s="16"/>
      <c r="B13" s="330"/>
      <c r="C13" s="330"/>
      <c r="D13" s="327" t="n">
        <v>2761</v>
      </c>
      <c r="E13" s="335"/>
      <c r="F13" s="335"/>
      <c r="G13" s="336"/>
      <c r="H13" s="334" t="n">
        <v>46201</v>
      </c>
    </row>
    <row r="14" customFormat="false" ht="15" hidden="false" customHeight="false" outlineLevel="0" collapsed="false">
      <c r="A14" s="16"/>
      <c r="B14" s="330"/>
      <c r="C14" s="330"/>
      <c r="D14" s="327"/>
      <c r="E14" s="335"/>
      <c r="F14" s="335"/>
      <c r="G14" s="336"/>
      <c r="H14" s="334"/>
    </row>
    <row r="15" customFormat="false" ht="15" hidden="false" customHeight="false" outlineLevel="0" collapsed="false">
      <c r="A15" s="16"/>
      <c r="B15" s="330"/>
      <c r="C15" s="330"/>
      <c r="D15" s="327"/>
      <c r="E15" s="335"/>
      <c r="F15" s="335"/>
      <c r="G15" s="336"/>
      <c r="H15" s="334"/>
    </row>
    <row r="16" customFormat="false" ht="15" hidden="false" customHeight="false" outlineLevel="0" collapsed="false">
      <c r="A16" s="16"/>
      <c r="B16" s="337"/>
      <c r="C16" s="337"/>
      <c r="D16" s="327"/>
      <c r="E16" s="335"/>
      <c r="F16" s="335"/>
      <c r="G16" s="336"/>
      <c r="H16" s="335"/>
    </row>
    <row r="17" customFormat="false" ht="15" hidden="false" customHeight="false" outlineLevel="0" collapsed="false">
      <c r="A17" s="16"/>
      <c r="B17" s="337"/>
      <c r="C17" s="337"/>
      <c r="D17" s="327"/>
      <c r="E17" s="6"/>
      <c r="F17" s="6"/>
      <c r="G17" s="328"/>
      <c r="H17" s="6"/>
    </row>
    <row r="18" customFormat="false" ht="15" hidden="false" customHeight="false" outlineLevel="0" collapsed="false">
      <c r="A18" s="16"/>
      <c r="B18" s="337"/>
      <c r="C18" s="337"/>
      <c r="D18" s="327"/>
      <c r="E18" s="6"/>
      <c r="F18" s="6"/>
      <c r="G18" s="328"/>
      <c r="H18" s="6"/>
    </row>
    <row r="19" customFormat="false" ht="15" hidden="false" customHeight="false" outlineLevel="0" collapsed="false">
      <c r="A19" s="16"/>
      <c r="B19" s="338"/>
      <c r="C19" s="338"/>
      <c r="D19" s="327"/>
      <c r="E19" s="6"/>
      <c r="F19" s="6"/>
      <c r="G19" s="328"/>
      <c r="H19" s="6"/>
    </row>
    <row r="20" customFormat="false" ht="15" hidden="false" customHeight="false" outlineLevel="0" collapsed="false">
      <c r="A20" s="16"/>
      <c r="B20" s="338"/>
      <c r="C20" s="338"/>
      <c r="D20" s="327"/>
      <c r="E20" s="6"/>
      <c r="F20" s="6"/>
      <c r="G20" s="328"/>
      <c r="H20" s="6"/>
    </row>
    <row r="21" customFormat="false" ht="15" hidden="false" customHeight="false" outlineLevel="0" collapsed="false">
      <c r="A21" s="16"/>
      <c r="B21" s="338"/>
      <c r="C21" s="338"/>
      <c r="D21" s="327"/>
      <c r="E21" s="6"/>
      <c r="F21" s="6"/>
      <c r="G21" s="328"/>
      <c r="H21" s="6"/>
    </row>
    <row r="22" customFormat="false" ht="15" hidden="false" customHeight="false" outlineLevel="0" collapsed="false">
      <c r="A22" s="16"/>
      <c r="B22" s="337"/>
      <c r="C22" s="337"/>
      <c r="D22" s="327"/>
      <c r="E22" s="6"/>
      <c r="F22" s="6"/>
      <c r="G22" s="328"/>
      <c r="H22" s="6"/>
    </row>
    <row r="23" customFormat="false" ht="15" hidden="false" customHeight="false" outlineLevel="0" collapsed="false">
      <c r="A23" s="16"/>
      <c r="B23" s="337"/>
      <c r="C23" s="337"/>
      <c r="D23" s="339"/>
      <c r="E23" s="6"/>
      <c r="F23" s="6"/>
      <c r="G23" s="328"/>
      <c r="H23" s="6"/>
    </row>
    <row r="24" customFormat="false" ht="15" hidden="false" customHeight="false" outlineLevel="0" collapsed="false">
      <c r="A24" s="16"/>
      <c r="B24" s="337"/>
      <c r="C24" s="337"/>
      <c r="D24" s="339"/>
      <c r="E24" s="6"/>
      <c r="F24" s="6"/>
      <c r="G24" s="328"/>
      <c r="H24" s="6"/>
    </row>
    <row r="25" customFormat="false" ht="15" hidden="false" customHeight="false" outlineLevel="0" collapsed="false">
      <c r="A25" s="16"/>
      <c r="B25" s="338"/>
      <c r="C25" s="338"/>
      <c r="D25" s="339"/>
      <c r="E25" s="6"/>
      <c r="F25" s="328"/>
      <c r="G25" s="328"/>
      <c r="H25" s="6"/>
    </row>
  </sheetData>
  <mergeCells count="3">
    <mergeCell ref="D1:F1"/>
    <mergeCell ref="D2:F2"/>
    <mergeCell ref="D3:E3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2014-06-29T19:01:43Z</dcterms:created>
  <dc:creator>DAVID</dc:creator>
  <dc:description/>
  <dc:language>es-MX</dc:language>
  <cp:lastModifiedBy/>
  <cp:lastPrinted>2026-05-20T11:50:52Z</cp:lastPrinted>
  <dcterms:modified xsi:type="dcterms:W3CDTF">2026-07-11T10:50:54Z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