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xWindow="240" yWindow="45" windowWidth="15150" windowHeight="7995" tabRatio="593" activeTab="1"/>
  </bookViews>
  <sheets>
    <sheet name="MEMBRESIA" sheetId="16" r:id="rId1"/>
    <sheet name="INGRESOS Y EGRESOS" sheetId="8" r:id="rId2"/>
    <sheet name="INFORME MENS" sheetId="13" r:id="rId3"/>
    <sheet name="PAGO A GLUM" sheetId="12" r:id="rId4"/>
    <sheet name="DEFUNCIONES" sheetId="14" r:id="rId5"/>
  </sheets>
  <calcPr calcId="144525"/>
</workbook>
</file>

<file path=xl/sharedStrings.xml><?xml version="1.0" encoding="utf-8"?>
<sst xmlns="http://schemas.openxmlformats.org/spreadsheetml/2006/main" count="436">
  <si>
    <t>Dig.·. Resp.·.  Abn.·. y Sesquicent.·. Log.·. Simb.·.  FRATERNIDAD No. 1</t>
  </si>
  <si>
    <t>MEMBRESÍA Y CONTROL DE APORTACIONES  2 0 2 6</t>
  </si>
  <si>
    <t>PRICA</t>
  </si>
  <si>
    <t>AGO</t>
  </si>
  <si>
    <t>SEP</t>
  </si>
  <si>
    <t>OCT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</si>
  <si>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</si>
  <si>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</si>
  <si>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</si>
  <si>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</si>
  <si>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</si>
  <si>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</si>
  <si>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</si>
  <si>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</si>
  <si>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</si>
  <si>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ADEUDO</t>
  </si>
  <si>
    <t>A FAVOR</t>
  </si>
  <si>
    <t>DAVID GARCIA MELGOZA</t>
  </si>
  <si>
    <t>47</t>
  </si>
  <si>
    <t>GABINO S. SANTAMARIA DELGADO</t>
  </si>
  <si>
    <t>JORGE L. MENDOZA SORIANO</t>
  </si>
  <si>
    <t xml:space="preserve"> </t>
  </si>
  <si>
    <t>LEOPOLDO GARCIA MELGOZA</t>
  </si>
  <si>
    <t>x</t>
  </si>
  <si>
    <t>X</t>
  </si>
  <si>
    <t>LUIS RODRIGUEZ MATA</t>
  </si>
  <si>
    <t>L. ENRIQUE RAMON VILABOA</t>
  </si>
  <si>
    <t>AULIO C. IBARRA ZAVALA</t>
  </si>
  <si>
    <t>GUILLERMO F. MOTOLINIA SANCHEZ</t>
  </si>
  <si>
    <t>JOSE A. GONZALEZ SOLIS</t>
  </si>
  <si>
    <t>J. OMAR PACHECO TAPIA</t>
  </si>
  <si>
    <t>RAFAEL MARTINEZ DE JESUS</t>
  </si>
  <si>
    <t>VICTOR H. AMBROSIO GUEVARA</t>
  </si>
  <si>
    <t>ALEXIS GARCIA ROBLES</t>
  </si>
  <si>
    <t>ANGEL R. GUTIERREZ ALVAREZ</t>
  </si>
  <si>
    <t>A. RICARDO GUTIERREZ CONTRERAS</t>
  </si>
  <si>
    <t xml:space="preserve">JOSMAR G. CANCHE HERMANDEZ </t>
  </si>
  <si>
    <t>BAJA EN ABRIL</t>
  </si>
  <si>
    <t>L. ELISEO JUAREZ MORALES</t>
  </si>
  <si>
    <t>BAJA EN MAYO</t>
  </si>
  <si>
    <t>L. MANUEL SANCHEZ TELLEZ</t>
  </si>
  <si>
    <t xml:space="preserve">BAJA EN MARZO </t>
  </si>
  <si>
    <t>DATOS AL 23 DE MARZO 2026</t>
  </si>
  <si>
    <t>PAGADO Y NUMERO DE RECIBO</t>
  </si>
  <si>
    <t>Dig.·. Resp.·.  Abn.·. y Sesquicent.·. Log.·. Simb.·. FRATERNIDAD No. 1</t>
  </si>
  <si>
    <t>INGRESOS Y EGRESOS DEL MES DE      ENERO 2026</t>
  </si>
  <si>
    <t>CAPITAS:</t>
  </si>
  <si>
    <t xml:space="preserve">ANIVERSARIO:  </t>
  </si>
  <si>
    <t>MIEMBROS</t>
  </si>
  <si>
    <t>I N G R E S O S</t>
  </si>
  <si>
    <t>ENERO DE 2026</t>
  </si>
  <si>
    <t>RECIBO</t>
  </si>
  <si>
    <t>M I E M B R O</t>
  </si>
  <si>
    <t>CAPITAS</t>
  </si>
  <si>
    <t xml:space="preserve"> ANIV.</t>
  </si>
  <si>
    <t>SACO BEN.</t>
  </si>
  <si>
    <t>TALLER B.J.</t>
  </si>
  <si>
    <t xml:space="preserve"> OTROS</t>
  </si>
  <si>
    <t>TOTAL</t>
  </si>
  <si>
    <t>FECHA</t>
  </si>
  <si>
    <t>DESCRIPCION</t>
  </si>
  <si>
    <t>S/N</t>
  </si>
  <si>
    <t>SACO BENEFICENCIA</t>
  </si>
  <si>
    <t>INSTALACION C.L.</t>
  </si>
  <si>
    <t>001</t>
  </si>
  <si>
    <t>002</t>
  </si>
  <si>
    <t>003</t>
  </si>
  <si>
    <t>SALDO DE CAPITAS DEL AÑO PASADO</t>
  </si>
  <si>
    <t>004</t>
  </si>
  <si>
    <t>JOSMAR G. CANCHÉ HERNANDEZ</t>
  </si>
  <si>
    <t>CAP. AGO-DIC/2025 APOYO POZA RICA</t>
  </si>
  <si>
    <t>005</t>
  </si>
  <si>
    <t>ENE-FEB 2026</t>
  </si>
  <si>
    <t>006</t>
  </si>
  <si>
    <t>ANGEL R. GUTIERREZ CONTRERAS</t>
  </si>
  <si>
    <t xml:space="preserve">EGRESOS </t>
  </si>
  <si>
    <t xml:space="preserve">No. </t>
  </si>
  <si>
    <t>C O N C E P T O</t>
  </si>
  <si>
    <t>CUENTA DE CARGO</t>
  </si>
  <si>
    <t>JUSTIFICACION</t>
  </si>
  <si>
    <t>ANIVERS.</t>
  </si>
  <si>
    <t>SACO BENE</t>
  </si>
  <si>
    <t>OTROS</t>
  </si>
  <si>
    <t>PAGO A LA GRAN LOGIA ENERO 2026</t>
  </si>
  <si>
    <t>COPIAS DE RECIBOS LOGIA</t>
  </si>
  <si>
    <t>REMANENTE DEL MES</t>
  </si>
  <si>
    <t>ELABORÓ</t>
  </si>
  <si>
    <t>REVISÓ</t>
  </si>
  <si>
    <t>AUTORIZÓ</t>
  </si>
  <si>
    <t>TES:.</t>
  </si>
  <si>
    <t>PDTE. COMISION DE HDA.</t>
  </si>
  <si>
    <t>VEN:. MAES:.</t>
  </si>
  <si>
    <t>INGRESOS Y EGRESOS DEL MES DE      FEBRERO 2026</t>
  </si>
  <si>
    <t>N7</t>
  </si>
  <si>
    <t>LEOPOLDO GARCIA M.</t>
  </si>
  <si>
    <t>PAGO ENERO 2026</t>
  </si>
  <si>
    <t>N8</t>
  </si>
  <si>
    <t>AULIO C. IBARRA Z.</t>
  </si>
  <si>
    <t>PAGO ENE-FEB 26</t>
  </si>
  <si>
    <t>N9</t>
  </si>
  <si>
    <t>GABINO S.SANTAMARIA D.</t>
  </si>
  <si>
    <t>10</t>
  </si>
  <si>
    <t>PAGO FEB 2026</t>
  </si>
  <si>
    <t>11</t>
  </si>
  <si>
    <t>JORGE L.MENDOZA S.</t>
  </si>
  <si>
    <t>12</t>
  </si>
  <si>
    <t>VICTOR H. AMBROSIO G.</t>
  </si>
  <si>
    <t>PAGO DIC 2025</t>
  </si>
  <si>
    <t>13</t>
  </si>
  <si>
    <t>RAFAEL MARTINEZ  DE J.</t>
  </si>
  <si>
    <t>PAGO ENE-JUN 26</t>
  </si>
  <si>
    <t>14</t>
  </si>
  <si>
    <t>LUIS ENRIQUE RAMON V.</t>
  </si>
  <si>
    <t>PAGO ENE-MAY 26</t>
  </si>
  <si>
    <t>15</t>
  </si>
  <si>
    <t>DAVID GARCIA M.</t>
  </si>
  <si>
    <t>MESES</t>
  </si>
  <si>
    <t>16</t>
  </si>
  <si>
    <t>JOSE ALFREDO GONZALEZ S.</t>
  </si>
  <si>
    <t>DIC/25 Y ENE-FEB/26</t>
  </si>
  <si>
    <t>17</t>
  </si>
  <si>
    <t>JOSE OMAR PACHECO T.</t>
  </si>
  <si>
    <t>ENE-FEB/26</t>
  </si>
  <si>
    <t>18</t>
  </si>
  <si>
    <t>LUIS ELISEO JUAREZ M.</t>
  </si>
  <si>
    <t>DIC/25 Y ENE/26</t>
  </si>
  <si>
    <t>20</t>
  </si>
  <si>
    <t>RAFAEL MARTINEZ DEL A.</t>
  </si>
  <si>
    <r>
      <t xml:space="preserve">JUL-NOV/26  </t>
    </r>
    <r>
      <rPr>
        <b/>
        <sz val="11"/>
        <color indexed="8"/>
        <rFont val="Calibri"/>
        <family val="2"/>
        <charset val="0"/>
      </rPr>
      <t>100 A FAVOR</t>
    </r>
  </si>
  <si>
    <t>22</t>
  </si>
  <si>
    <t>A. RICARDO GUTIERREZ C.</t>
  </si>
  <si>
    <t>25 FE</t>
  </si>
  <si>
    <t>CAP. FEBRERO</t>
  </si>
  <si>
    <t>COMPRA DE PAPELERIA</t>
  </si>
  <si>
    <t>PAGO A GLUM MES FEB/26</t>
  </si>
  <si>
    <t>APERT. CTA. BANCO</t>
  </si>
  <si>
    <t>INGRESOS Y EGRESOS DEL MES DE      MARZO 2026</t>
  </si>
  <si>
    <t>19</t>
  </si>
  <si>
    <t>ANGEL R. GUTIERREZ A.</t>
  </si>
  <si>
    <r>
      <t xml:space="preserve">DE POLO ENE-MAR/2026 </t>
    </r>
    <r>
      <rPr>
        <b/>
        <sz val="11"/>
        <color indexed="8"/>
        <rFont val="Calibri"/>
        <family val="2"/>
        <charset val="0"/>
      </rPr>
      <t>50 A FAVOR</t>
    </r>
  </si>
  <si>
    <t>21</t>
  </si>
  <si>
    <t>LUIS RODRIGUEZ M</t>
  </si>
  <si>
    <t>ENE-MAR/2026</t>
  </si>
  <si>
    <t>23</t>
  </si>
  <si>
    <t xml:space="preserve">GABINO S. SANTAMARIA </t>
  </si>
  <si>
    <t>CAPS. MAR/2026</t>
  </si>
  <si>
    <t>24</t>
  </si>
  <si>
    <t>RECIBOS 19 Y 29 DEVOLUCIONES DE LEOPOLDO</t>
  </si>
  <si>
    <t>25</t>
  </si>
  <si>
    <t>CAPS. FEB/2026</t>
  </si>
  <si>
    <t>26</t>
  </si>
  <si>
    <r>
      <t xml:space="preserve">P.RICA , FEB/2026 </t>
    </r>
    <r>
      <rPr>
        <b/>
        <sz val="11"/>
        <color indexed="8"/>
        <rFont val="Calibri"/>
        <family val="2"/>
        <charset val="0"/>
      </rPr>
      <t>22 PESOS A FAVOR</t>
    </r>
  </si>
  <si>
    <t>27</t>
  </si>
  <si>
    <t>FONDO ANIVERSARI</t>
  </si>
  <si>
    <t>28</t>
  </si>
  <si>
    <t>FONDO DE CAPITAS</t>
  </si>
  <si>
    <t>29</t>
  </si>
  <si>
    <t>C A N C E L A D O</t>
  </si>
  <si>
    <t>30</t>
  </si>
  <si>
    <t>CAP. MAR/2026</t>
  </si>
  <si>
    <t>31</t>
  </si>
  <si>
    <t>RAFAEL MARTINEZ DE J.</t>
  </si>
  <si>
    <t>CAP. DIC/2026</t>
  </si>
  <si>
    <t>32</t>
  </si>
  <si>
    <t>OMAR PACHECO T.</t>
  </si>
  <si>
    <t>33</t>
  </si>
  <si>
    <t>CAP. ENE-FEB726</t>
  </si>
  <si>
    <t>34</t>
  </si>
  <si>
    <t>CAP. FEBRERO/2026</t>
  </si>
  <si>
    <t>35</t>
  </si>
  <si>
    <t>L. MANUEL GONZALEZ T.</t>
  </si>
  <si>
    <t>P.R.+ NOV-DIC/2025</t>
  </si>
  <si>
    <t>36</t>
  </si>
  <si>
    <t>MAR-ABR/2026</t>
  </si>
  <si>
    <t>37</t>
  </si>
  <si>
    <t>CAP. MAR-ABR/26</t>
  </si>
  <si>
    <t>38</t>
  </si>
  <si>
    <t>ENTREGA TESORERIA</t>
  </si>
  <si>
    <t>39</t>
  </si>
  <si>
    <t>JORGE L. MENDOZA S.</t>
  </si>
  <si>
    <t>40</t>
  </si>
  <si>
    <t>41</t>
  </si>
  <si>
    <t>CAP. MAR Y BOLETO RIFA</t>
  </si>
  <si>
    <t>42</t>
  </si>
  <si>
    <t>CAP. MAR 2026</t>
  </si>
  <si>
    <t>DEPOSITO DE CAPITAS A BANCO</t>
  </si>
  <si>
    <t>COPIAS DE ENTREGA TESOR</t>
  </si>
  <si>
    <t>PAGO A GLUM MES MAR/26</t>
  </si>
  <si>
    <t>BOLETO RIFA ALFREDO GONZALEZ</t>
  </si>
  <si>
    <t>INGRESOS Y EGRESOS DEL MES DE      ABRIL 2026</t>
  </si>
  <si>
    <t>43</t>
  </si>
  <si>
    <t>GUILLERMO F MOTOLINIA S.</t>
  </si>
  <si>
    <t>50 PESOS A FAVOR</t>
  </si>
  <si>
    <t>44</t>
  </si>
  <si>
    <t>OMAR PACHECO  ABR/26</t>
  </si>
  <si>
    <t>CAPITAS DE ABRIL</t>
  </si>
  <si>
    <t>45</t>
  </si>
  <si>
    <t>A. RICARDO GUTIERREZ  ABR</t>
  </si>
  <si>
    <t>46</t>
  </si>
  <si>
    <t>JOSMAR CANCHE   MAR/26</t>
  </si>
  <si>
    <t>CAP. MAR  SOL. BAJA</t>
  </si>
  <si>
    <t xml:space="preserve">47 </t>
  </si>
  <si>
    <t>DAVID GARCIA  ABR/26</t>
  </si>
  <si>
    <t>CAP. ABRIL</t>
  </si>
  <si>
    <t>48</t>
  </si>
  <si>
    <t>LUIS RODRIGUEZ  ABR-JUN</t>
  </si>
  <si>
    <t>CAPS. ABR-JUNIO</t>
  </si>
  <si>
    <t>49</t>
  </si>
  <si>
    <t>LEOPOLDO GARCIA  ABRIL</t>
  </si>
  <si>
    <t>50</t>
  </si>
  <si>
    <t>GABINO SANTAMARIA  ABR</t>
  </si>
  <si>
    <t>DONACION  AULIO IBARRA</t>
  </si>
  <si>
    <t>JARDIN H. JARA</t>
  </si>
  <si>
    <t>51</t>
  </si>
  <si>
    <t>ALEXIS GARCIA  ABRIL</t>
  </si>
  <si>
    <t>CAPS. ABRIL</t>
  </si>
  <si>
    <t>DIA NIÑO A JARDIN H. JARA</t>
  </si>
  <si>
    <t>FESTEJO DIA NIÑO A GLUM</t>
  </si>
  <si>
    <t>PAGO A GLUM</t>
  </si>
  <si>
    <t>CONVIVIO AJEF 21 MARZO</t>
  </si>
  <si>
    <t>ESTANTERIA SECRETARIA B</t>
  </si>
  <si>
    <t>INGRESOS Y EGRESOS DEL MES DE      MAYO 2026</t>
  </si>
  <si>
    <t>52</t>
  </si>
  <si>
    <t>AULIO IBARRA  MAY-JUN</t>
  </si>
  <si>
    <t>53</t>
  </si>
  <si>
    <t>J. ALFREDO GONZALEZ ABR</t>
  </si>
  <si>
    <t>54</t>
  </si>
  <si>
    <t>JORGE L. MENDOZA  MAY-JUN</t>
  </si>
  <si>
    <t>SACO DE BENEFICENCIA</t>
  </si>
  <si>
    <t>55</t>
  </si>
  <si>
    <t>RICARDO GUTIERREZ    MAY</t>
  </si>
  <si>
    <t>56</t>
  </si>
  <si>
    <t>OMAR PACHECO    MAY</t>
  </si>
  <si>
    <t>CAPITAS GLUM</t>
  </si>
  <si>
    <t>POST MORTEM  GLUM</t>
  </si>
  <si>
    <t>INGRESOS Y EGRESOS DEL MES DE      JUNIO 2026</t>
  </si>
  <si>
    <t>57</t>
  </si>
  <si>
    <t xml:space="preserve">VICTOR H. AMBROSIO </t>
  </si>
  <si>
    <t>MAYO Y JUNO</t>
  </si>
  <si>
    <t>58</t>
  </si>
  <si>
    <t>GABINO SANTAMARIA</t>
  </si>
  <si>
    <t>59</t>
  </si>
  <si>
    <t>DAVID GARCIA</t>
  </si>
  <si>
    <t>MAY-JUNIO</t>
  </si>
  <si>
    <t>SAC BENEFICENCIA</t>
  </si>
  <si>
    <t>2 UN</t>
  </si>
  <si>
    <t>NO SE TABAJ</t>
  </si>
  <si>
    <t>60</t>
  </si>
  <si>
    <t>ALEXIS GARCIA  MAY</t>
  </si>
  <si>
    <t>TRANSFERENCIA</t>
  </si>
  <si>
    <t>61</t>
  </si>
  <si>
    <t>ANGEL GUTIERREZ</t>
  </si>
  <si>
    <t>ABR- MAY-JUN</t>
  </si>
  <si>
    <t>62</t>
  </si>
  <si>
    <t>JUL-AGO-SEPT</t>
  </si>
  <si>
    <t>63</t>
  </si>
  <si>
    <t>RICARDO GUTIERREZ</t>
  </si>
  <si>
    <t>JUNIO</t>
  </si>
  <si>
    <t>64</t>
  </si>
  <si>
    <t>OMAR PACHECO</t>
  </si>
  <si>
    <t>65</t>
  </si>
  <si>
    <t>ENRIQUE RAMON (MESERO)</t>
  </si>
  <si>
    <t>66</t>
  </si>
  <si>
    <t xml:space="preserve">ENRIQUE RAMON    JUN </t>
  </si>
  <si>
    <t>67</t>
  </si>
  <si>
    <t>ENRIQUE RAMON JUL  A  NOV</t>
  </si>
  <si>
    <t>ABONO ANIVERSARIO</t>
  </si>
  <si>
    <t>ALIMENTOS DEL ANIVERSARIO</t>
  </si>
  <si>
    <t>INSUMOS VARIOS</t>
  </si>
  <si>
    <t>INGRESOS Y EGRESOS DEL MES DE      JULIO 2026</t>
  </si>
  <si>
    <t>68</t>
  </si>
  <si>
    <t>ALEXIS GARCIA</t>
  </si>
  <si>
    <t>69</t>
  </si>
  <si>
    <t>PARCIAL  DE JULIO</t>
  </si>
  <si>
    <t>70</t>
  </si>
  <si>
    <t>J. ALFREDO GONZALEZ</t>
  </si>
  <si>
    <t>CAPS. MAYO-JUNIO</t>
  </si>
  <si>
    <t>71</t>
  </si>
  <si>
    <t>GABINO S. SANTAMARIA</t>
  </si>
  <si>
    <t>CAP. JULIO</t>
  </si>
  <si>
    <t>72</t>
  </si>
  <si>
    <t>AULIO C. IBARRA</t>
  </si>
  <si>
    <t>CAPS. JUL-AGO</t>
  </si>
  <si>
    <t>73</t>
  </si>
  <si>
    <t xml:space="preserve">INFORME MENSUAL DE RESULTADOS FINANCIEROS </t>
  </si>
  <si>
    <t>MIEMBROS ACTIVOS</t>
  </si>
  <si>
    <t>FECHA:</t>
  </si>
  <si>
    <t>ENERO 2026</t>
  </si>
  <si>
    <t>INGRESO</t>
  </si>
  <si>
    <t>MES ANT.</t>
  </si>
  <si>
    <t>SUB TOTAL</t>
  </si>
  <si>
    <t>EGRESO</t>
  </si>
  <si>
    <t>SALDO TOTAL</t>
  </si>
  <si>
    <t xml:space="preserve"> ANIVERSARIO</t>
  </si>
  <si>
    <t>INGRESOS</t>
  </si>
  <si>
    <t xml:space="preserve"> SACO DE BENEFICENCIA</t>
  </si>
  <si>
    <t xml:space="preserve">T A L L E R  B E N I T O   J U A R E Z </t>
  </si>
  <si>
    <r>
      <t xml:space="preserve">OTROS </t>
    </r>
    <r>
      <rPr>
        <sz val="16"/>
        <rFont val="Calibri"/>
        <family val="2"/>
        <charset val="0"/>
      </rPr>
      <t>(Poza Rica)</t>
    </r>
  </si>
  <si>
    <t>SUMA TOTAL</t>
  </si>
  <si>
    <t>PRESIDENTE COM. HDA.</t>
  </si>
  <si>
    <t>FEBRERO 2026</t>
  </si>
  <si>
    <t>MARZO 2026</t>
  </si>
  <si>
    <t>ABRIL 2026</t>
  </si>
  <si>
    <t>MAYO 2026</t>
  </si>
  <si>
    <t>JUNIO 2026</t>
  </si>
  <si>
    <t xml:space="preserve">OTROS </t>
  </si>
  <si>
    <r>
      <rPr>
        <sz val="9"/>
        <color indexed="8"/>
        <rFont val="Calibri"/>
        <family val="2"/>
        <charset val="0"/>
      </rPr>
      <t>REMESA DE FONDOS MENSUAL QUE SE RINDE EN CUMPLIMIENTO DE LO QUE DISPONE EL ART. 60 DEL REGLAMENTO DE LA GR:. LOG:.</t>
    </r>
  </si>
  <si>
    <r>
      <t>"</t>
    </r>
    <r>
      <rPr>
        <sz val="9"/>
        <color indexed="8"/>
        <rFont val="Calibri"/>
        <family val="2"/>
        <charset val="0"/>
      </rPr>
      <t>UNIDA MEXICANA" Y DE LL:. Y AA:. MM:. DEL GR:. OR:. DE VERACRUZ</t>
    </r>
  </si>
  <si>
    <t xml:space="preserve">RESP:. LOG:. SIMB:. </t>
  </si>
  <si>
    <t>FRATERNIDAD No. 1</t>
  </si>
  <si>
    <t>MES :</t>
  </si>
  <si>
    <t>DETALLE DE LA APLICACIÓN</t>
  </si>
  <si>
    <t>AUX:. MAS:. "POST    MORTEM"</t>
  </si>
  <si>
    <t>GRAN LOGIA</t>
  </si>
  <si>
    <t>MES</t>
  </si>
  <si>
    <t>HH:.</t>
  </si>
  <si>
    <t>COSTO</t>
  </si>
  <si>
    <t>MENSUAL</t>
  </si>
  <si>
    <t>DERECHOS</t>
  </si>
  <si>
    <t>INICIACIONES</t>
  </si>
  <si>
    <t>AUMENTO DE SALARIO</t>
  </si>
  <si>
    <t>EXALTACIONES</t>
  </si>
  <si>
    <t>REGULARIZACIONES</t>
  </si>
  <si>
    <t>AFILIACION</t>
  </si>
  <si>
    <t>DIVERSOS</t>
  </si>
  <si>
    <t>REVISTA UNIDAD MEXICANA (SIMBOLISMO)</t>
  </si>
  <si>
    <t>CONF:. GGR:. LLOG:. REP.MEX.</t>
  </si>
  <si>
    <t>---</t>
  </si>
  <si>
    <t>CONF:. MAS:. INTERAMERICANA</t>
  </si>
  <si>
    <t>SERVICIOS</t>
  </si>
  <si>
    <t>OTROS:  FONDO DE CONTINGENCIA</t>
  </si>
  <si>
    <t>AUX:. MAS:. "POST MORTEM"</t>
  </si>
  <si>
    <t>CUOTAS INICIALES</t>
  </si>
  <si>
    <t>CUOTAS MENSUALES</t>
  </si>
  <si>
    <t>DEFUNCION No. DEL</t>
  </si>
  <si>
    <t>AL</t>
  </si>
  <si>
    <t>SUBTOTAL</t>
  </si>
  <si>
    <t>ALTAS EN EL MES</t>
  </si>
  <si>
    <t>MOVIMIENTOS EN EL MES</t>
  </si>
  <si>
    <t>MAESTROS</t>
  </si>
  <si>
    <t>INIC.</t>
  </si>
  <si>
    <t>AUM. SAL</t>
  </si>
  <si>
    <t>COMPAÑEROS</t>
  </si>
  <si>
    <t>AFIL.</t>
  </si>
  <si>
    <t>EXALT</t>
  </si>
  <si>
    <t>APRENDICES</t>
  </si>
  <si>
    <t>REG.</t>
  </si>
  <si>
    <t>BAJAS EN EL MES</t>
  </si>
  <si>
    <t>BORRADOS POR FALTAS REGLAMENTARIAS</t>
  </si>
  <si>
    <t>M.L.O.</t>
  </si>
  <si>
    <t>SEPARADOS POR PL:. DE QUITE</t>
  </si>
  <si>
    <t>M. ALT. CAM</t>
  </si>
  <si>
    <t>RESUMEN</t>
  </si>
  <si>
    <t>MMIEMB.ACTI. MES ANTERIOR</t>
  </si>
  <si>
    <t xml:space="preserve">MMIEMB.ACTI. PRESENTE MES </t>
  </si>
  <si>
    <t>DIFERENCIA HH:. DEL TALLER</t>
  </si>
  <si>
    <t xml:space="preserve">     OR:. DE VERACRUZ, VER. A.</t>
  </si>
  <si>
    <t>Elaboró</t>
  </si>
  <si>
    <t>Vo.  Bo.</t>
  </si>
  <si>
    <t>Enterado</t>
  </si>
  <si>
    <t>VEN:. MAEST:.</t>
  </si>
  <si>
    <r>
      <rPr>
        <b/>
        <sz val="10"/>
        <color indexed="8"/>
        <rFont val="Calibri"/>
        <family val="2"/>
        <charset val="0"/>
      </rPr>
      <t>REMESA DE FONDOS MENSUAL</t>
    </r>
    <r>
      <rPr>
        <sz val="11"/>
        <color theme="1"/>
        <family val="2"/>
        <charset val="0"/>
      </rPr>
      <t xml:space="preserve"> </t>
    </r>
    <r>
      <rPr>
        <sz val="9"/>
        <color indexed="8"/>
        <rFont val="Calibri"/>
        <family val="2"/>
        <charset val="0"/>
      </rPr>
      <t>QUE SE RINDE EN CUMPLIMIENTO DE LO QUE DISPONE EL ART. 60 DEL REGLAMENTO DE LA GR:. LOG:.</t>
    </r>
  </si>
  <si>
    <t>RESP:. LOG:. SIMB:. "FRATERNIDAD No. 1" OR:. DE VERACRUZ, VER.</t>
  </si>
  <si>
    <t xml:space="preserve">RELACION DE MIEMBROS ACTIVOS CORRESPONDIENTE AL : </t>
  </si>
  <si>
    <t>NOMBRE Y GRADO</t>
  </si>
  <si>
    <t>MM:. MM:.</t>
  </si>
  <si>
    <t>GABINO SABITRI SANTAMARIA DELGADO</t>
  </si>
  <si>
    <t>V:. M:.</t>
  </si>
  <si>
    <t>P:. V:.</t>
  </si>
  <si>
    <t>S:. V:.</t>
  </si>
  <si>
    <t>JORJE LUIS MENDOZA SORIANO</t>
  </si>
  <si>
    <t>SEC:.</t>
  </si>
  <si>
    <t>ORA:.</t>
  </si>
  <si>
    <t>LUIS ENRIQUE RAMON VILABOA</t>
  </si>
  <si>
    <t>M:. CC:.</t>
  </si>
  <si>
    <t>CC:. MM:.</t>
  </si>
  <si>
    <t>AULIO CESAR IBARRA ZAVALA</t>
  </si>
  <si>
    <t>GUILLERMO FRANCISCO MOTOLINIA DELGADO</t>
  </si>
  <si>
    <t>JOSE ALFREDO GONZALEZ SOLIS</t>
  </si>
  <si>
    <t>JOSE OMAR PACHECO TAPIA</t>
  </si>
  <si>
    <t>VICTOR HUGO AMBROSIO GUEVARA</t>
  </si>
  <si>
    <t>AAP:. MM:.</t>
  </si>
  <si>
    <t xml:space="preserve">ALEXIS GARCIA GUERRA </t>
  </si>
  <si>
    <t>ANGEL RICARDO GUTIERREZ ALVAREZ</t>
  </si>
  <si>
    <t>ANGEL RICARDO GUTIERREZ CONTRERAS</t>
  </si>
  <si>
    <t xml:space="preserve">JOSMAR GABRIEL CANCHE HERMANDEZ </t>
  </si>
  <si>
    <t xml:space="preserve">LUIS ELISEO JUAREZ MORALES </t>
  </si>
  <si>
    <t>M:. L:. O:.</t>
  </si>
  <si>
    <t>ALTAS                  BAJAS          Y        MOVIMIENTOS</t>
  </si>
  <si>
    <t>N  O  M  B  R  E</t>
  </si>
  <si>
    <t>GRADO</t>
  </si>
  <si>
    <t>MOVTO.</t>
  </si>
  <si>
    <t>CONCEPTO DEL MISMO</t>
  </si>
  <si>
    <t>LUIS MANUEL SANCHEZ TELLEZ</t>
  </si>
  <si>
    <t>1</t>
  </si>
  <si>
    <t>BAJA</t>
  </si>
  <si>
    <t>FALTA DE ASISTENCIA Y PAGO</t>
  </si>
  <si>
    <t>GABIN O S. SANTAMARIA DELGADO</t>
  </si>
  <si>
    <t>JORJE L. MENDOZA SORIANO</t>
  </si>
  <si>
    <t>GUILLERMO F. MOTOLINIA DELGADO</t>
  </si>
  <si>
    <t>ALEXIS GUERRA GARCIA</t>
  </si>
  <si>
    <t xml:space="preserve">L. ELISEO JUAREZ </t>
  </si>
  <si>
    <t>L.MANUEL SANCHEZ TELLEZ</t>
  </si>
  <si>
    <t>BAJA EN MARZO</t>
  </si>
  <si>
    <t xml:space="preserve">D  E  F  U  N  C  I  O  N  E  S </t>
  </si>
  <si>
    <t>2  0  2 6</t>
  </si>
  <si>
    <t>No.</t>
  </si>
  <si>
    <t xml:space="preserve">GRAN CIRC. </t>
  </si>
  <si>
    <t>DEFUNC</t>
  </si>
  <si>
    <t>NOMBRE</t>
  </si>
  <si>
    <t>LOGIA</t>
  </si>
  <si>
    <t>ORIENTE</t>
  </si>
  <si>
    <t>PAGADO</t>
  </si>
  <si>
    <t>17/2025</t>
  </si>
  <si>
    <t>JESUS MARTIN CARRION BRAVO</t>
  </si>
  <si>
    <t>YANGA No. 15</t>
  </si>
  <si>
    <t>CORDOBA, VER</t>
  </si>
  <si>
    <t>18/2025</t>
  </si>
  <si>
    <t>MARCELINO CEBALLOS ZAMARRON</t>
  </si>
  <si>
    <t>FRATERNIDAD No. 11</t>
  </si>
  <si>
    <t>JALAPA, VER.</t>
  </si>
  <si>
    <t>19/2026</t>
  </si>
  <si>
    <t>VICTOR MANUEL ESPINOZA BASTIAN</t>
  </si>
  <si>
    <t>MAHATMA GANDHI No. 3</t>
  </si>
  <si>
    <t>POZA RICA, Ver.</t>
  </si>
  <si>
    <t>20/2026</t>
  </si>
  <si>
    <t>EFREN USCANGA BRAVO</t>
  </si>
  <si>
    <t>CATEMACO No. 68</t>
  </si>
  <si>
    <t>CATEMACO, VER.</t>
  </si>
  <si>
    <t>29/2026</t>
  </si>
  <si>
    <t>JUAN CARLOS ENCISO MENDEZ</t>
  </si>
  <si>
    <t>DEP. DEL OTE. 17</t>
  </si>
  <si>
    <t>40/2026</t>
  </si>
  <si>
    <t>MARIO RODRIGUEZ CASTELLANOS</t>
  </si>
  <si>
    <t>FRATER Y PROG 50</t>
  </si>
  <si>
    <t>TUXPAN, VER.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</si>
</sst>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176" formatCode="dd/mm/yyyy;@"/>
    <numFmt numFmtId="177" formatCode="&quot;$&quot;#,##0.00"/>
    <numFmt numFmtId="178" formatCode="_-* #,##0_-;\-* #,##0_-;_-* &quot;-&quot;_-;_-@_-"/>
    <numFmt numFmtId="179" formatCode="_-* #,##0.00_-;\-* #,##0.00_-;_-* &quot;-&quot;??_-;_-@_-"/>
    <numFmt numFmtId="180" formatCode="_-&quot;$&quot;* #,##0_-;\-&quot;$&quot;* #,##0_-;_-&quot;$&quot;* &quot;-&quot;_-;_-@_-"/>
    <numFmt numFmtId="181" formatCode="&quot;$&quot;#,##0.00;[Red]\-&quot;$&quot;#,##0.00"/>
    <numFmt numFmtId="182" formatCode="_-&quot;$&quot;* #,##0.00_-;\-&quot;$&quot;* #,##0.00_-;_-&quot;$&quot;* &quot;-&quot;??_-;_-@_-"/>
  </numFmts>
  <fonts count="62">
    <font>
      <sz val="11"/>
      <color theme="1"/>
      <name val="宋体"/>
      <family val="2"/>
      <charset val="0"/>
      <scheme val="minor"/>
    </font>
    <font>
      <sz val="12"/>
      <color theme="1"/>
      <name val="Arial Black"/>
      <family val="2"/>
      <charset val="0"/>
    </font>
    <font>
      <b/>
      <sz val="12"/>
      <color theme="1"/>
      <name val="Arial Narrow"/>
      <family val="2"/>
      <charset val="0"/>
    </font>
    <font>
      <b/>
      <sz val="16"/>
      <color theme="1"/>
      <name val="宋体"/>
      <family val="2"/>
      <charset val="0"/>
      <scheme val="minor"/>
    </font>
    <font>
      <b/>
      <sz val="10"/>
      <name val="宋体"/>
      <family val="2"/>
      <charset val="0"/>
      <scheme val="minor"/>
    </font>
    <font>
      <sz val="12"/>
      <name val="宋体"/>
      <family val="2"/>
      <charset val="0"/>
      <scheme val="minor"/>
    </font>
    <font>
      <sz val="11"/>
      <name val="宋体"/>
      <family val="2"/>
      <charset val="0"/>
      <scheme val="minor"/>
    </font>
    <font>
      <b/>
      <sz val="12"/>
      <name val="宋体"/>
      <family val="2"/>
      <charset val="0"/>
      <scheme val="minor"/>
    </font>
    <font>
      <sz val="12"/>
      <color rgb="FFC00000"/>
      <name val="宋体"/>
      <family val="2"/>
      <charset val="0"/>
      <scheme val="minor"/>
    </font>
    <font>
      <b/>
      <sz val="12"/>
      <name val="Arial"/>
      <family val="2"/>
      <charset val="0"/>
    </font>
    <font>
      <b/>
      <sz val="10"/>
      <color theme="1"/>
      <name val="宋体"/>
      <family val="2"/>
      <charset val="0"/>
      <scheme val="minor"/>
    </font>
    <font>
      <sz val="12"/>
      <color theme="1"/>
      <name val="宋体"/>
      <family val="2"/>
      <charset val="0"/>
      <scheme val="minor"/>
    </font>
    <font>
      <b/>
      <sz val="10"/>
      <color theme="1"/>
      <name val="Arial Black"/>
      <family val="2"/>
      <charset val="0"/>
    </font>
    <font>
      <sz val="9"/>
      <color theme="1"/>
      <name val="宋体"/>
      <family val="2"/>
      <charset val="0"/>
      <scheme val="minor"/>
    </font>
    <font>
      <b/>
      <sz val="11"/>
      <color theme="1"/>
      <name val="宋体"/>
      <family val="2"/>
      <charset val="0"/>
      <scheme val="minor"/>
    </font>
    <font>
      <sz val="10"/>
      <color theme="1"/>
      <name val="宋体"/>
      <family val="2"/>
      <charset val="0"/>
      <scheme val="minor"/>
    </font>
    <font>
      <b/>
      <sz val="12"/>
      <color theme="1"/>
      <name val="宋体"/>
      <family val="2"/>
      <charset val="0"/>
      <scheme val="minor"/>
    </font>
    <font>
      <b/>
      <sz val="8"/>
      <color theme="1"/>
      <name val="Arial"/>
      <family val="2"/>
      <charset val="0"/>
    </font>
    <font>
      <sz val="8"/>
      <color theme="1"/>
      <name val="宋体"/>
      <family val="2"/>
      <charset val="0"/>
      <scheme val="minor"/>
    </font>
    <font>
      <sz val="10"/>
      <name val="宋体"/>
      <family val="2"/>
      <charset val="0"/>
      <scheme val="minor"/>
    </font>
    <font>
      <b/>
      <sz val="9"/>
      <color theme="1"/>
      <name val="宋体"/>
      <family val="2"/>
      <charset val="0"/>
      <scheme val="minor"/>
    </font>
    <font>
      <sz val="9"/>
      <name val="宋体"/>
      <family val="2"/>
      <charset val="0"/>
      <scheme val="minor"/>
    </font>
    <font>
      <b/>
      <sz val="8"/>
      <color theme="1"/>
      <name val="宋体"/>
      <family val="2"/>
      <charset val="0"/>
      <scheme val="minor"/>
    </font>
    <font>
      <sz val="9"/>
      <color rgb="FFFF0000"/>
      <name val="宋体"/>
      <family val="2"/>
      <charset val="0"/>
      <scheme val="minor"/>
    </font>
    <font>
      <sz val="10"/>
      <color rgb="FFFF0000"/>
      <name val="宋体"/>
      <family val="2"/>
      <charset val="0"/>
      <scheme val="minor"/>
    </font>
    <font>
      <sz val="11"/>
      <color theme="1"/>
      <name val="Arial Black"/>
      <family val="2"/>
      <charset val="0"/>
    </font>
    <font>
      <b/>
      <u/>
      <sz val="12"/>
      <color theme="1"/>
      <name val="宋体"/>
      <family val="2"/>
      <charset val="0"/>
      <scheme val="minor"/>
    </font>
    <font>
      <sz val="11"/>
      <color theme="1"/>
      <name val="Arial"/>
      <family val="2"/>
      <charset val="0"/>
    </font>
    <font>
      <b/>
      <sz val="16"/>
      <name val="宋体"/>
      <family val="2"/>
      <charset val="0"/>
      <scheme val="minor"/>
    </font>
    <font>
      <b/>
      <sz val="11"/>
      <name val="宋体"/>
      <family val="2"/>
      <charset val="0"/>
      <scheme val="minor"/>
    </font>
    <font>
      <sz val="12"/>
      <name val="Arial"/>
      <family val="2"/>
      <charset val="0"/>
    </font>
    <font>
      <sz val="11"/>
      <color rgb="FFFF0000"/>
      <name val="宋体"/>
      <family val="2"/>
      <charset val="0"/>
      <scheme val="minor"/>
    </font>
    <font>
      <sz val="12"/>
      <color rgb="FFFF0000"/>
      <name val="宋体"/>
      <family val="2"/>
      <charset val="0"/>
      <scheme val="minor"/>
    </font>
    <font>
      <b/>
      <sz val="12"/>
      <color theme="1"/>
      <name val="Arial"/>
      <family val="2"/>
      <charset val="0"/>
    </font>
    <font>
      <b/>
      <sz val="11"/>
      <color rgb="FFFF0000"/>
      <name val="宋体"/>
      <family val="2"/>
      <charset val="0"/>
      <scheme val="minor"/>
    </font>
    <font>
      <b/>
      <sz val="11"/>
      <color rgb="FF0070C0"/>
      <name val="宋体"/>
      <family val="2"/>
      <charset val="0"/>
      <scheme val="minor"/>
    </font>
    <font>
      <sz val="11"/>
      <color rgb="FF0070C0"/>
      <name val="宋体"/>
      <family val="2"/>
      <charset val="0"/>
      <scheme val="minor"/>
    </font>
    <font>
      <sz val="11"/>
      <color rgb="FFC00000"/>
      <name val="宋体"/>
      <family val="2"/>
      <charset val="0"/>
      <scheme val="minor"/>
    </font>
    <font>
      <sz val="10"/>
      <color theme="1" tint="0.249977111117893"/>
      <name val="宋体"/>
      <family val="2"/>
      <charset val="0"/>
      <scheme val="minor"/>
    </font>
    <font>
      <b/>
      <sz val="10"/>
      <color rgb="FFC00000"/>
      <name val="宋体"/>
      <family val="2"/>
      <charset val="0"/>
      <scheme val="minor"/>
    </font>
    <font>
      <b/>
      <sz val="10"/>
      <color rgb="FFFF0000"/>
      <name val="宋体"/>
      <family val="2"/>
      <charset val="0"/>
      <scheme val="minor"/>
    </font>
    <font>
      <b/>
      <sz val="12"/>
      <color rgb="FFFF0000"/>
      <name val="宋体"/>
      <family val="2"/>
      <charset val="0"/>
      <scheme val="minor"/>
    </font>
    <font>
      <sz val="11"/>
      <color rgb="FF006100"/>
      <name val="宋体"/>
      <family val="2"/>
      <charset val="0"/>
      <scheme val="minor"/>
    </font>
    <font>
      <b/>
      <sz val="13"/>
      <color theme="3"/>
      <name val="宋体"/>
      <family val="2"/>
      <charset val="0"/>
      <scheme val="minor"/>
    </font>
    <font>
      <sz val="11"/>
      <color rgb="FFFA7D00"/>
      <name val="宋体"/>
      <family val="2"/>
      <charset val="0"/>
      <scheme val="minor"/>
    </font>
    <font>
      <sz val="11"/>
      <color rgb="FF9C0006"/>
      <name val="宋体"/>
      <family val="2"/>
      <charset val="0"/>
      <scheme val="minor"/>
    </font>
    <font>
      <sz val="11"/>
      <color theme="0"/>
      <name val="宋体"/>
      <family val="2"/>
      <charset val="0"/>
      <scheme val="minor"/>
    </font>
    <font>
      <b/>
      <sz val="18"/>
      <color theme="3"/>
      <name val="宋体"/>
      <family val="2"/>
      <charset val="0"/>
      <scheme val="major"/>
    </font>
    <font>
      <sz val="11"/>
      <color rgb="FF3F3F76"/>
      <name val="宋体"/>
      <family val="2"/>
      <charset val="0"/>
      <scheme val="minor"/>
    </font>
    <font>
      <b/>
      <sz val="11"/>
      <color theme="3"/>
      <name val="宋体"/>
      <family val="2"/>
      <charset val="0"/>
      <scheme val="minor"/>
    </font>
    <font>
      <b/>
      <sz val="11"/>
      <color rgb="FF3F3F3F"/>
      <name val="宋体"/>
      <family val="2"/>
      <charset val="0"/>
      <scheme val="minor"/>
    </font>
    <font>
      <b/>
      <sz val="11"/>
      <color rgb="FFFA7D00"/>
      <name val="宋体"/>
      <family val="2"/>
      <charset val="0"/>
      <scheme val="minor"/>
    </font>
    <font>
      <sz val="11"/>
      <color rgb="FF9C6500"/>
      <name val="宋体"/>
      <family val="2"/>
      <charset val="0"/>
      <scheme val="minor"/>
    </font>
    <font>
      <b/>
      <sz val="11"/>
      <color theme="0"/>
      <name val="宋体"/>
      <family val="2"/>
      <charset val="0"/>
      <scheme val="minor"/>
    </font>
    <font>
      <u/>
      <sz val="11"/>
      <color theme="11"/>
      <name val="宋体"/>
      <family val="2"/>
      <charset val="0"/>
      <scheme val="minor"/>
    </font>
    <font>
      <u/>
      <sz val="11"/>
      <color theme="10"/>
      <name val="宋体"/>
      <family val="2"/>
      <charset val="0"/>
      <scheme val="minor"/>
    </font>
    <font>
      <b/>
      <sz val="15"/>
      <color theme="3"/>
      <name val="宋体"/>
      <family val="2"/>
      <charset val="0"/>
      <scheme val="minor"/>
    </font>
    <font>
      <i/>
      <sz val="11"/>
      <color rgb="FF7F7F7F"/>
      <name val="宋体"/>
      <family val="2"/>
      <charset val="0"/>
      <scheme val="minor"/>
    </font>
    <font>
      <sz val="9"/>
      <color indexed="8"/>
      <name val="Calibri"/>
      <family val="2"/>
      <charset val="0"/>
    </font>
    <font>
      <b/>
      <sz val="10"/>
      <color indexed="8"/>
      <name val="Calibri"/>
      <family val="2"/>
      <charset val="0"/>
    </font>
    <font>
      <sz val="16"/>
      <name val="Calibri"/>
      <family val="2"/>
      <charset val="0"/>
    </font>
    <font>
      <b/>
      <sz val="11"/>
      <color indexed="8"/>
      <name val="Calibri"/>
      <family val="2"/>
      <charset val="0"/>
    </font>
  </fonts>
  <fills count="3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39997558519241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46" fillId="26" borderId="0" applyNumberFormat="0" applyBorder="0" applyAlignment="0" applyProtection="0"/>
    <xf numFmtId="0" fontId="0" fillId="31" borderId="43" applyNumberFormat="0" applyFont="0" applyAlignment="0" applyProtection="0"/>
    <xf numFmtId="0" fontId="0" fillId="35" borderId="0" applyNumberFormat="0" applyBorder="0" applyAlignment="0" applyProtection="0"/>
    <xf numFmtId="0" fontId="46" fillId="33" borderId="0" applyNumberFormat="0" applyBorder="0" applyAlignment="0" applyProtection="0"/>
    <xf numFmtId="0" fontId="46" fillId="16" borderId="0" applyNumberFormat="0" applyBorder="0" applyAlignment="0" applyProtection="0"/>
    <xf numFmtId="0" fontId="0" fillId="37" borderId="0" applyNumberFormat="0" applyBorder="0" applyAlignment="0" applyProtection="0"/>
    <xf numFmtId="0" fontId="0" fillId="34" borderId="0" applyNumberFormat="0" applyBorder="0" applyAlignment="0" applyProtection="0"/>
    <xf numFmtId="0" fontId="46" fillId="30" borderId="0" applyNumberFormat="0" applyBorder="0" applyAlignment="0" applyProtection="0"/>
    <xf numFmtId="0" fontId="46" fillId="32" borderId="0" applyNumberFormat="0" applyBorder="0" applyAlignment="0" applyProtection="0"/>
    <xf numFmtId="0" fontId="55" fillId="0" borderId="0" applyNumberFormat="0" applyFill="0" applyBorder="0" applyAlignment="0" applyProtection="0"/>
    <xf numFmtId="0" fontId="0" fillId="17" borderId="0" applyNumberFormat="0" applyBorder="0" applyAlignment="0" applyProtection="0"/>
    <xf numFmtId="0" fontId="46" fillId="27" borderId="0" applyNumberFormat="0" applyBorder="0" applyAlignment="0" applyProtection="0"/>
    <xf numFmtId="0" fontId="0" fillId="25" borderId="0" applyNumberFormat="0" applyBorder="0" applyAlignment="0" applyProtection="0"/>
    <xf numFmtId="0" fontId="46" fillId="24" borderId="0" applyNumberFormat="0" applyBorder="0" applyAlignment="0" applyProtection="0"/>
    <xf numFmtId="9" fontId="0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0" fillId="36" borderId="0" applyNumberFormat="0" applyBorder="0" applyAlignment="0" applyProtection="0"/>
    <xf numFmtId="0" fontId="46" fillId="19" borderId="0" applyNumberFormat="0" applyBorder="0" applyAlignment="0" applyProtection="0"/>
    <xf numFmtId="0" fontId="52" fillId="22" borderId="0" applyNumberFormat="0" applyBorder="0" applyAlignment="0" applyProtection="0"/>
    <xf numFmtId="0" fontId="53" fillId="23" borderId="41" applyNumberFormat="0" applyAlignment="0" applyProtection="0"/>
    <xf numFmtId="0" fontId="0" fillId="20" borderId="0" applyNumberFormat="0" applyBorder="0" applyAlignment="0" applyProtection="0"/>
    <xf numFmtId="0" fontId="54" fillId="0" borderId="0" applyNumberFormat="0" applyFill="0" applyBorder="0" applyAlignment="0" applyProtection="0"/>
    <xf numFmtId="0" fontId="45" fillId="11" borderId="0" applyNumberFormat="0" applyBorder="0" applyAlignment="0" applyProtection="0"/>
    <xf numFmtId="0" fontId="56" fillId="0" borderId="42" applyNumberFormat="0" applyFill="0" applyAlignment="0" applyProtection="0"/>
    <xf numFmtId="0" fontId="51" fillId="14" borderId="38" applyNumberFormat="0" applyAlignment="0" applyProtection="0"/>
    <xf numFmtId="0" fontId="49" fillId="0" borderId="40" applyNumberFormat="0" applyFill="0" applyAlignment="0" applyProtection="0"/>
    <xf numFmtId="0" fontId="44" fillId="0" borderId="36" applyNumberFormat="0" applyFill="0" applyAlignment="0" applyProtection="0"/>
    <xf numFmtId="0" fontId="50" fillId="14" borderId="39" applyNumberFormat="0" applyAlignment="0" applyProtection="0"/>
    <xf numFmtId="0" fontId="4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6" fillId="12" borderId="0" applyNumberFormat="0" applyBorder="0" applyAlignment="0" applyProtection="0"/>
    <xf numFmtId="0" fontId="0" fillId="29" borderId="0" applyNumberFormat="0" applyBorder="0" applyAlignment="0" applyProtection="0"/>
    <xf numFmtId="0" fontId="14" fillId="0" borderId="37" applyNumberFormat="0" applyFill="0" applyAlignment="0" applyProtection="0"/>
    <xf numFmtId="0" fontId="43" fillId="0" borderId="35" applyNumberFormat="0" applyFill="0" applyAlignment="0" applyProtection="0"/>
    <xf numFmtId="0" fontId="0" fillId="10" borderId="0" applyNumberFormat="0" applyBorder="0" applyAlignment="0" applyProtection="0"/>
    <xf numFmtId="0" fontId="46" fillId="18" borderId="0" applyNumberFormat="0" applyBorder="0" applyAlignment="0" applyProtection="0"/>
    <xf numFmtId="0" fontId="48" fillId="13" borderId="38" applyNumberFormat="0" applyAlignment="0" applyProtection="0"/>
    <xf numFmtId="0" fontId="0" fillId="9" borderId="0" applyNumberFormat="0" applyBorder="0" applyAlignment="0" applyProtection="0"/>
    <xf numFmtId="0" fontId="31" fillId="0" borderId="0" applyNumberFormat="0" applyFill="0" applyBorder="0" applyAlignment="0" applyProtection="0"/>
    <xf numFmtId="0" fontId="46" fillId="38" borderId="0" applyNumberFormat="0" applyBorder="0" applyAlignment="0" applyProtection="0"/>
    <xf numFmtId="0" fontId="0" fillId="21" borderId="0" applyNumberFormat="0" applyBorder="0" applyAlignment="0" applyProtection="0"/>
    <xf numFmtId="179" fontId="0" fillId="0" borderId="0" applyFont="0" applyFill="0" applyBorder="0" applyAlignment="0" applyProtection="0"/>
    <xf numFmtId="0" fontId="0" fillId="15" borderId="0" applyNumberFormat="0" applyBorder="0" applyAlignment="0" applyProtection="0"/>
    <xf numFmtId="180" fontId="0" fillId="0" borderId="0" applyFont="0" applyFill="0" applyBorder="0" applyAlignment="0" applyProtection="0"/>
    <xf numFmtId="0" fontId="46" fillId="28" borderId="0" applyNumberFormat="0" applyBorder="0" applyAlignment="0" applyProtection="0"/>
    <xf numFmtId="0" fontId="42" fillId="8" borderId="0" applyNumberFormat="0" applyBorder="0" applyAlignment="0" applyProtection="0"/>
    <xf numFmtId="182" fontId="0" fillId="0" borderId="0" applyFont="0" applyFill="0" applyBorder="0" applyAlignment="0" applyProtection="0"/>
    <xf numFmtId="178" fontId="0" fillId="0" borderId="0" applyFont="0" applyFill="0" applyBorder="0" applyAlignment="0" applyProtection="0"/>
  </cellStyleXfs>
  <cellXfs count="40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6" fillId="0" borderId="2" xfId="0" applyFont="1" applyBorder="1"/>
    <xf numFmtId="58" fontId="6" fillId="0" borderId="2" xfId="0" applyNumberFormat="1" applyFont="1" applyBorder="1"/>
    <xf numFmtId="0" fontId="7" fillId="3" borderId="2" xfId="0" applyFont="1" applyFill="1" applyBorder="1" applyAlignment="1">
      <alignment horizontal="center"/>
    </xf>
    <xf numFmtId="0" fontId="5" fillId="0" borderId="2" xfId="0" applyFont="1" applyBorder="1"/>
    <xf numFmtId="58" fontId="5" fillId="0" borderId="2" xfId="0" applyNumberFormat="1" applyFont="1" applyBorder="1"/>
    <xf numFmtId="0" fontId="6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/>
    <xf numFmtId="15" fontId="0" fillId="0" borderId="2" xfId="0" applyNumberFormat="1" applyBorder="1"/>
    <xf numFmtId="0" fontId="0" fillId="0" borderId="2" xfId="0" applyFont="1" applyBorder="1"/>
    <xf numFmtId="0" fontId="0" fillId="0" borderId="2" xfId="0" applyFont="1" applyBorder="1" applyAlignment="1"/>
    <xf numFmtId="0" fontId="0" fillId="0" borderId="2" xfId="0" applyFont="1" applyBorder="1" applyAlignment="1">
      <alignment horizontal="left"/>
    </xf>
    <xf numFmtId="15" fontId="0" fillId="0" borderId="2" xfId="0" applyNumberFormat="1" applyFont="1" applyBorder="1"/>
    <xf numFmtId="15" fontId="11" fillId="0" borderId="2" xfId="0" applyNumberFormat="1" applyFont="1" applyBorder="1"/>
    <xf numFmtId="0" fontId="11" fillId="0" borderId="2" xfId="0" applyFont="1" applyBorder="1" applyAlignment="1"/>
    <xf numFmtId="0" fontId="11" fillId="0" borderId="2" xfId="0" applyFont="1" applyBorder="1" applyAlignment="1">
      <alignment horizontal="left"/>
    </xf>
    <xf numFmtId="0" fontId="11" fillId="0" borderId="2" xfId="0" applyFont="1" applyBorder="1"/>
    <xf numFmtId="0" fontId="0" fillId="0" borderId="2" xfId="0" applyBorder="1" applyAlignment="1"/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49" fontId="10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left" vertical="top" wrapText="1"/>
    </xf>
    <xf numFmtId="0" fontId="10" fillId="0" borderId="0" xfId="0" applyFont="1"/>
    <xf numFmtId="0" fontId="17" fillId="0" borderId="0" xfId="0" applyFont="1"/>
    <xf numFmtId="0" fontId="4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8" fillId="0" borderId="0" xfId="0" applyFont="1"/>
    <xf numFmtId="0" fontId="15" fillId="0" borderId="2" xfId="0" applyFont="1" applyBorder="1" applyAlignment="1">
      <alignment horizontal="center"/>
    </xf>
    <xf numFmtId="0" fontId="13" fillId="0" borderId="0" xfId="0" applyFont="1"/>
    <xf numFmtId="0" fontId="15" fillId="0" borderId="2" xfId="0" applyFont="1" applyBorder="1" applyAlignment="1">
      <alignment horizontal="center" vertical="center"/>
    </xf>
    <xf numFmtId="0" fontId="15" fillId="0" borderId="0" xfId="0" applyFont="1" applyFill="1" applyBorder="1"/>
    <xf numFmtId="0" fontId="15" fillId="0" borderId="0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Border="1"/>
    <xf numFmtId="0" fontId="15" fillId="0" borderId="0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/>
    </xf>
    <xf numFmtId="181" fontId="15" fillId="0" borderId="3" xfId="0" applyNumberFormat="1" applyFont="1" applyBorder="1"/>
    <xf numFmtId="0" fontId="15" fillId="0" borderId="5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6" xfId="0" applyFont="1" applyBorder="1" applyAlignment="1">
      <alignment horizontal="center" vertical="center"/>
    </xf>
    <xf numFmtId="181" fontId="15" fillId="0" borderId="6" xfId="0" applyNumberFormat="1" applyFont="1" applyBorder="1" applyAlignment="1">
      <alignment vertical="center"/>
    </xf>
    <xf numFmtId="177" fontId="15" fillId="0" borderId="6" xfId="0" applyNumberFormat="1" applyFont="1" applyBorder="1" applyAlignment="1">
      <alignment horizontal="center" vertical="center"/>
    </xf>
    <xf numFmtId="177" fontId="15" fillId="0" borderId="6" xfId="47" applyNumberFormat="1" applyFont="1" applyBorder="1" applyAlignment="1">
      <alignment vertical="center"/>
    </xf>
    <xf numFmtId="177" fontId="15" fillId="0" borderId="6" xfId="0" applyNumberFormat="1" applyFont="1" applyBorder="1" applyAlignment="1">
      <alignment vertical="center"/>
    </xf>
    <xf numFmtId="177" fontId="15" fillId="0" borderId="6" xfId="0" applyNumberFormat="1" applyFont="1" applyBorder="1" applyAlignment="1">
      <alignment horizontal="center"/>
    </xf>
    <xf numFmtId="177" fontId="15" fillId="0" borderId="6" xfId="0" applyNumberFormat="1" applyFont="1" applyBorder="1"/>
    <xf numFmtId="0" fontId="4" fillId="0" borderId="7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177" fontId="15" fillId="0" borderId="8" xfId="0" applyNumberFormat="1" applyFont="1" applyBorder="1"/>
    <xf numFmtId="0" fontId="10" fillId="0" borderId="0" xfId="0" applyFont="1" applyAlignment="1">
      <alignment horizontal="center"/>
    </xf>
    <xf numFmtId="17" fontId="10" fillId="0" borderId="0" xfId="0" applyNumberFormat="1" applyFont="1" applyAlignment="1"/>
    <xf numFmtId="0" fontId="1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9" fillId="0" borderId="0" xfId="0" applyFont="1" applyAlignment="1">
      <alignment horizontal="center" vertical="center"/>
    </xf>
    <xf numFmtId="0" fontId="20" fillId="0" borderId="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81" fontId="10" fillId="0" borderId="3" xfId="0" applyNumberFormat="1" applyFont="1" applyBorder="1"/>
    <xf numFmtId="181" fontId="10" fillId="0" borderId="6" xfId="0" applyNumberFormat="1" applyFont="1" applyBorder="1" applyAlignment="1">
      <alignment vertical="center"/>
    </xf>
    <xf numFmtId="177" fontId="10" fillId="0" borderId="6" xfId="0" applyNumberFormat="1" applyFont="1" applyBorder="1" applyAlignment="1">
      <alignment horizontal="right" vertical="center"/>
    </xf>
    <xf numFmtId="177" fontId="10" fillId="0" borderId="6" xfId="0" applyNumberFormat="1" applyFont="1" applyBorder="1" applyAlignment="1">
      <alignment vertical="center"/>
    </xf>
    <xf numFmtId="177" fontId="10" fillId="0" borderId="6" xfId="0" applyNumberFormat="1" applyFont="1" applyBorder="1"/>
    <xf numFmtId="177" fontId="15" fillId="0" borderId="8" xfId="0" applyNumberFormat="1" applyFont="1" applyBorder="1" applyAlignment="1">
      <alignment horizontal="center"/>
    </xf>
    <xf numFmtId="177" fontId="10" fillId="0" borderId="8" xfId="0" applyNumberFormat="1" applyFont="1" applyBorder="1"/>
    <xf numFmtId="177" fontId="10" fillId="0" borderId="3" xfId="0" applyNumberFormat="1" applyFont="1" applyBorder="1" applyAlignment="1">
      <alignment horizontal="center" vertical="center" wrapText="1"/>
    </xf>
    <xf numFmtId="177" fontId="10" fillId="0" borderId="4" xfId="0" applyNumberFormat="1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3" xfId="0" applyFont="1" applyBorder="1" applyAlignment="1">
      <alignment vertical="center"/>
    </xf>
    <xf numFmtId="0" fontId="15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20" fillId="0" borderId="0" xfId="0" applyFont="1"/>
    <xf numFmtId="0" fontId="21" fillId="0" borderId="0" xfId="0" applyFont="1"/>
    <xf numFmtId="0" fontId="18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13" fillId="0" borderId="0" xfId="0" applyFont="1" applyBorder="1"/>
    <xf numFmtId="0" fontId="10" fillId="4" borderId="4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3" fillId="0" borderId="9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15" fillId="0" borderId="14" xfId="0" applyFont="1" applyBorder="1" applyAlignment="1">
      <alignment horizontal="left" vertical="center"/>
    </xf>
    <xf numFmtId="0" fontId="15" fillId="0" borderId="15" xfId="0" applyFont="1" applyBorder="1" applyAlignment="1">
      <alignment horizontal="left" vertical="center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6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0" fillId="0" borderId="16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15" fillId="0" borderId="12" xfId="0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0" fontId="20" fillId="0" borderId="0" xfId="0" applyFont="1" applyBorder="1"/>
    <xf numFmtId="0" fontId="10" fillId="0" borderId="19" xfId="0" applyFont="1" applyBorder="1" applyAlignment="1">
      <alignment horizontal="center" vertical="center"/>
    </xf>
    <xf numFmtId="0" fontId="22" fillId="0" borderId="20" xfId="0" applyFont="1" applyBorder="1" applyAlignment="1">
      <alignment vertical="center"/>
    </xf>
    <xf numFmtId="0" fontId="13" fillId="0" borderId="21" xfId="0" applyFont="1" applyBorder="1" applyAlignment="1">
      <alignment horizontal="left" vertical="center"/>
    </xf>
    <xf numFmtId="49" fontId="18" fillId="0" borderId="22" xfId="0" applyNumberFormat="1" applyFont="1" applyBorder="1" applyAlignment="1">
      <alignment horizontal="center" vertical="center"/>
    </xf>
    <xf numFmtId="176" fontId="13" fillId="0" borderId="23" xfId="0" applyNumberFormat="1" applyFont="1" applyBorder="1" applyAlignment="1">
      <alignment horizontal="center" vertical="center"/>
    </xf>
    <xf numFmtId="176" fontId="13" fillId="0" borderId="24" xfId="0" applyNumberFormat="1" applyFont="1" applyBorder="1" applyAlignment="1">
      <alignment horizontal="center" vertical="center"/>
    </xf>
    <xf numFmtId="0" fontId="13" fillId="0" borderId="25" xfId="0" applyFont="1" applyBorder="1" applyAlignment="1">
      <alignment horizontal="left" vertical="center"/>
    </xf>
    <xf numFmtId="49" fontId="13" fillId="0" borderId="2" xfId="0" applyNumberFormat="1" applyFont="1" applyBorder="1" applyAlignment="1">
      <alignment horizontal="center" vertical="center"/>
    </xf>
    <xf numFmtId="176" fontId="13" fillId="0" borderId="26" xfId="0" applyNumberFormat="1" applyFont="1" applyBorder="1" applyAlignment="1">
      <alignment horizontal="center" vertical="center"/>
    </xf>
    <xf numFmtId="176" fontId="13" fillId="0" borderId="25" xfId="0" applyNumberFormat="1" applyFont="1" applyBorder="1" applyAlignment="1">
      <alignment horizontal="center" vertical="center"/>
    </xf>
    <xf numFmtId="0" fontId="15" fillId="0" borderId="25" xfId="0" applyFont="1" applyBorder="1" applyAlignment="1">
      <alignment horizontal="left" vertical="center"/>
    </xf>
    <xf numFmtId="49" fontId="15" fillId="0" borderId="2" xfId="0" applyNumberFormat="1" applyFont="1" applyBorder="1" applyAlignment="1">
      <alignment horizontal="center" vertical="center"/>
    </xf>
    <xf numFmtId="176" fontId="15" fillId="0" borderId="26" xfId="0" applyNumberFormat="1" applyFont="1" applyBorder="1" applyAlignment="1">
      <alignment horizontal="center" vertical="center"/>
    </xf>
    <xf numFmtId="176" fontId="15" fillId="0" borderId="25" xfId="0" applyNumberFormat="1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49" fontId="15" fillId="0" borderId="2" xfId="0" applyNumberFormat="1" applyFont="1" applyBorder="1" applyAlignment="1">
      <alignment vertical="center"/>
    </xf>
    <xf numFmtId="176" fontId="15" fillId="0" borderId="26" xfId="0" applyNumberFormat="1" applyFont="1" applyBorder="1" applyAlignment="1">
      <alignment vertical="center"/>
    </xf>
    <xf numFmtId="176" fontId="15" fillId="0" borderId="0" xfId="0" applyNumberFormat="1" applyFont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0" fontId="0" fillId="0" borderId="0" xfId="0" applyBorder="1"/>
    <xf numFmtId="0" fontId="15" fillId="0" borderId="0" xfId="0" applyFont="1" applyBorder="1" applyAlignment="1">
      <alignment horizontal="left"/>
    </xf>
    <xf numFmtId="0" fontId="10" fillId="4" borderId="11" xfId="0" applyFont="1" applyFill="1" applyBorder="1" applyAlignment="1">
      <alignment horizontal="center" vertical="center"/>
    </xf>
    <xf numFmtId="0" fontId="10" fillId="0" borderId="20" xfId="0" applyFont="1" applyBorder="1" applyAlignment="1">
      <alignment vertical="center"/>
    </xf>
    <xf numFmtId="0" fontId="10" fillId="0" borderId="27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3" fillId="0" borderId="23" xfId="0" applyFont="1" applyBorder="1" applyAlignment="1">
      <alignment horizontal="center" vertical="center"/>
    </xf>
    <xf numFmtId="0" fontId="13" fillId="0" borderId="23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26" xfId="0" applyFont="1" applyBorder="1" applyAlignment="1">
      <alignment horizontal="left" vertical="center"/>
    </xf>
    <xf numFmtId="0" fontId="13" fillId="0" borderId="28" xfId="0" applyFont="1" applyBorder="1" applyAlignment="1">
      <alignment horizontal="left" vertical="center"/>
    </xf>
    <xf numFmtId="0" fontId="15" fillId="0" borderId="26" xfId="0" applyFont="1" applyBorder="1" applyAlignment="1">
      <alignment horizontal="center" vertical="center"/>
    </xf>
    <xf numFmtId="0" fontId="15" fillId="0" borderId="26" xfId="0" applyFont="1" applyBorder="1" applyAlignment="1">
      <alignment horizontal="left" vertical="center"/>
    </xf>
    <xf numFmtId="0" fontId="15" fillId="0" borderId="28" xfId="0" applyFont="1" applyBorder="1" applyAlignment="1">
      <alignment horizontal="left" vertical="center"/>
    </xf>
    <xf numFmtId="0" fontId="15" fillId="0" borderId="15" xfId="0" applyFont="1" applyBorder="1" applyAlignment="1">
      <alignment vertical="center"/>
    </xf>
    <xf numFmtId="0" fontId="15" fillId="0" borderId="28" xfId="0" applyFont="1" applyBorder="1" applyAlignment="1">
      <alignment horizontal="center" vertical="center"/>
    </xf>
    <xf numFmtId="0" fontId="15" fillId="0" borderId="29" xfId="0" applyFont="1" applyBorder="1" applyAlignment="1">
      <alignment horizontal="left"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center"/>
    </xf>
    <xf numFmtId="0" fontId="13" fillId="0" borderId="3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24" xfId="0" applyFont="1" applyBorder="1" applyAlignment="1">
      <alignment horizontal="left" vertical="center"/>
    </xf>
    <xf numFmtId="49" fontId="14" fillId="0" borderId="0" xfId="0" applyNumberFormat="1" applyFont="1" applyAlignment="1">
      <alignment horizontal="center" vertical="center"/>
    </xf>
    <xf numFmtId="0" fontId="23" fillId="0" borderId="0" xfId="0" applyFont="1"/>
    <xf numFmtId="0" fontId="24" fillId="0" borderId="0" xfId="0" applyFont="1"/>
    <xf numFmtId="0" fontId="25" fillId="0" borderId="0" xfId="0" applyFont="1" applyAlignment="1">
      <alignment horizontal="center" vertical="center" wrapText="1"/>
    </xf>
    <xf numFmtId="0" fontId="16" fillId="0" borderId="0" xfId="0" applyFont="1" applyAlignment="1"/>
    <xf numFmtId="0" fontId="0" fillId="0" borderId="0" xfId="0" applyAlignment="1"/>
    <xf numFmtId="0" fontId="26" fillId="0" borderId="0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182" fontId="0" fillId="0" borderId="0" xfId="0" applyNumberFormat="1" applyBorder="1"/>
    <xf numFmtId="182" fontId="28" fillId="0" borderId="0" xfId="0" applyNumberFormat="1" applyFont="1" applyBorder="1" applyAlignment="1">
      <alignment horizontal="center"/>
    </xf>
    <xf numFmtId="177" fontId="14" fillId="0" borderId="2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4" fontId="11" fillId="5" borderId="2" xfId="0" applyNumberFormat="1" applyFont="1" applyFill="1" applyBorder="1"/>
    <xf numFmtId="4" fontId="5" fillId="0" borderId="2" xfId="0" applyNumberFormat="1" applyFont="1" applyBorder="1"/>
    <xf numFmtId="4" fontId="11" fillId="0" borderId="2" xfId="0" applyNumberFormat="1" applyFont="1" applyBorder="1"/>
    <xf numFmtId="177" fontId="0" fillId="0" borderId="0" xfId="0" applyNumberFormat="1" applyBorder="1" applyAlignment="1">
      <alignment horizontal="center"/>
    </xf>
    <xf numFmtId="177" fontId="14" fillId="0" borderId="0" xfId="0" applyNumberFormat="1" applyFont="1" applyBorder="1"/>
    <xf numFmtId="4" fontId="28" fillId="0" borderId="0" xfId="0" applyNumberFormat="1" applyFont="1" applyBorder="1" applyAlignment="1">
      <alignment horizontal="center"/>
    </xf>
    <xf numFmtId="4" fontId="5" fillId="5" borderId="2" xfId="0" applyNumberFormat="1" applyFont="1" applyFill="1" applyBorder="1"/>
    <xf numFmtId="182" fontId="6" fillId="0" borderId="0" xfId="0" applyNumberFormat="1" applyFont="1" applyBorder="1"/>
    <xf numFmtId="0" fontId="7" fillId="0" borderId="0" xfId="0" applyFont="1" applyBorder="1" applyAlignment="1">
      <alignment vertical="center"/>
    </xf>
    <xf numFmtId="0" fontId="28" fillId="0" borderId="0" xfId="0" applyFont="1" applyBorder="1" applyAlignment="1">
      <alignment horizontal="center" vertical="center"/>
    </xf>
    <xf numFmtId="177" fontId="29" fillId="0" borderId="2" xfId="0" applyNumberFormat="1" applyFont="1" applyBorder="1" applyAlignment="1">
      <alignment horizontal="center"/>
    </xf>
    <xf numFmtId="0" fontId="29" fillId="0" borderId="2" xfId="0" applyFont="1" applyBorder="1" applyAlignment="1">
      <alignment horizontal="center"/>
    </xf>
    <xf numFmtId="0" fontId="14" fillId="0" borderId="0" xfId="0" applyFont="1" applyBorder="1"/>
    <xf numFmtId="0" fontId="7" fillId="0" borderId="0" xfId="0" applyFont="1" applyBorder="1" applyAlignment="1"/>
    <xf numFmtId="4" fontId="5" fillId="0" borderId="0" xfId="0" applyNumberFormat="1" applyFont="1" applyBorder="1"/>
    <xf numFmtId="4" fontId="11" fillId="0" borderId="0" xfId="0" applyNumberFormat="1" applyFont="1" applyBorder="1"/>
    <xf numFmtId="0" fontId="6" fillId="0" borderId="0" xfId="0" applyFont="1" applyBorder="1"/>
    <xf numFmtId="0" fontId="28" fillId="0" borderId="0" xfId="0" applyFont="1" applyBorder="1" applyAlignment="1">
      <alignment horizontal="center"/>
    </xf>
    <xf numFmtId="49" fontId="6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29" fillId="0" borderId="0" xfId="0" applyFont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Alignment="1"/>
    <xf numFmtId="0" fontId="14" fillId="0" borderId="0" xfId="0" applyFont="1"/>
    <xf numFmtId="0" fontId="14" fillId="0" borderId="0" xfId="0" applyFont="1" applyBorder="1" applyAlignment="1">
      <alignment horizontal="center"/>
    </xf>
    <xf numFmtId="0" fontId="14" fillId="0" borderId="0" xfId="0" applyFont="1" applyBorder="1" applyAlignment="1"/>
    <xf numFmtId="0" fontId="16" fillId="0" borderId="0" xfId="0" applyFont="1" applyAlignment="1">
      <alignment horizontal="center"/>
    </xf>
    <xf numFmtId="49" fontId="30" fillId="0" borderId="1" xfId="0" applyNumberFormat="1" applyFont="1" applyBorder="1" applyAlignment="1"/>
    <xf numFmtId="17" fontId="7" fillId="0" borderId="1" xfId="0" applyNumberFormat="1" applyFont="1" applyBorder="1" applyAlignment="1"/>
    <xf numFmtId="17" fontId="6" fillId="0" borderId="0" xfId="0" applyNumberFormat="1" applyFont="1" applyBorder="1" applyAlignment="1">
      <alignment horizontal="center"/>
    </xf>
    <xf numFmtId="182" fontId="16" fillId="0" borderId="0" xfId="0" applyNumberFormat="1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4" fontId="11" fillId="5" borderId="26" xfId="0" applyNumberFormat="1" applyFont="1" applyFill="1" applyBorder="1" applyAlignment="1">
      <alignment horizontal="center"/>
    </xf>
    <xf numFmtId="4" fontId="11" fillId="5" borderId="25" xfId="0" applyNumberFormat="1" applyFont="1" applyFill="1" applyBorder="1" applyAlignment="1">
      <alignment horizontal="center"/>
    </xf>
    <xf numFmtId="4" fontId="16" fillId="0" borderId="2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14" fillId="0" borderId="2" xfId="0" applyFont="1" applyFill="1" applyBorder="1" applyAlignment="1">
      <alignment horizontal="center"/>
    </xf>
    <xf numFmtId="4" fontId="5" fillId="5" borderId="26" xfId="0" applyNumberFormat="1" applyFont="1" applyFill="1" applyBorder="1" applyAlignment="1">
      <alignment horizontal="center"/>
    </xf>
    <xf numFmtId="4" fontId="5" fillId="5" borderId="25" xfId="0" applyNumberFormat="1" applyFont="1" applyFill="1" applyBorder="1" applyAlignment="1">
      <alignment horizontal="center"/>
    </xf>
    <xf numFmtId="4" fontId="7" fillId="0" borderId="2" xfId="0" applyNumberFormat="1" applyFont="1" applyBorder="1" applyAlignment="1">
      <alignment horizontal="center"/>
    </xf>
    <xf numFmtId="182" fontId="6" fillId="0" borderId="0" xfId="0" applyNumberFormat="1" applyFont="1" applyBorder="1" applyAlignment="1">
      <alignment horizontal="center"/>
    </xf>
    <xf numFmtId="182" fontId="7" fillId="0" borderId="0" xfId="0" applyNumberFormat="1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177" fontId="29" fillId="0" borderId="0" xfId="0" applyNumberFormat="1" applyFont="1" applyBorder="1"/>
    <xf numFmtId="0" fontId="29" fillId="0" borderId="2" xfId="0" applyFont="1" applyFill="1" applyBorder="1" applyAlignment="1">
      <alignment horizontal="center"/>
    </xf>
    <xf numFmtId="177" fontId="7" fillId="0" borderId="0" xfId="0" applyNumberFormat="1" applyFont="1" applyBorder="1" applyAlignment="1"/>
    <xf numFmtId="177" fontId="7" fillId="0" borderId="0" xfId="0" applyNumberFormat="1" applyFont="1" applyBorder="1"/>
    <xf numFmtId="4" fontId="5" fillId="0" borderId="0" xfId="0" applyNumberFormat="1" applyFont="1" applyBorder="1" applyAlignment="1">
      <alignment horizontal="center"/>
    </xf>
    <xf numFmtId="4" fontId="7" fillId="0" borderId="0" xfId="0" applyNumberFormat="1" applyFont="1" applyBorder="1" applyAlignment="1">
      <alignment horizontal="center"/>
    </xf>
    <xf numFmtId="177" fontId="6" fillId="0" borderId="0" xfId="0" applyNumberFormat="1" applyFont="1" applyBorder="1" applyAlignment="1">
      <alignment horizontal="center"/>
    </xf>
    <xf numFmtId="177" fontId="31" fillId="0" borderId="0" xfId="0" applyNumberFormat="1" applyFont="1" applyBorder="1" applyAlignment="1">
      <alignment horizontal="center"/>
    </xf>
    <xf numFmtId="177" fontId="0" fillId="0" borderId="0" xfId="0" applyNumberFormat="1" applyBorder="1"/>
    <xf numFmtId="177" fontId="7" fillId="0" borderId="2" xfId="0" applyNumberFormat="1" applyFont="1" applyBorder="1" applyAlignment="1">
      <alignment horizontal="center"/>
    </xf>
    <xf numFmtId="0" fontId="11" fillId="0" borderId="0" xfId="0" applyFont="1"/>
    <xf numFmtId="0" fontId="11" fillId="0" borderId="0" xfId="0" applyFont="1" applyBorder="1"/>
    <xf numFmtId="4" fontId="32" fillId="0" borderId="0" xfId="0" applyNumberFormat="1" applyFont="1" applyBorder="1"/>
    <xf numFmtId="4" fontId="16" fillId="0" borderId="0" xfId="0" applyNumberFormat="1" applyFont="1" applyBorder="1"/>
    <xf numFmtId="0" fontId="16" fillId="0" borderId="0" xfId="0" applyFont="1" applyBorder="1" applyAlignment="1">
      <alignment horizontal="left"/>
    </xf>
    <xf numFmtId="15" fontId="6" fillId="0" borderId="0" xfId="0" applyNumberFormat="1" applyFont="1" applyBorder="1"/>
    <xf numFmtId="0" fontId="5" fillId="0" borderId="0" xfId="0" applyFont="1" applyBorder="1" applyAlignment="1">
      <alignment horizontal="center" vertical="center"/>
    </xf>
    <xf numFmtId="0" fontId="25" fillId="0" borderId="0" xfId="0" applyFont="1" applyAlignment="1">
      <alignment vertical="center" wrapText="1"/>
    </xf>
    <xf numFmtId="0" fontId="33" fillId="0" borderId="0" xfId="0" applyFont="1" applyAlignment="1">
      <alignment horizontal="center"/>
    </xf>
    <xf numFmtId="0" fontId="33" fillId="0" borderId="0" xfId="0" applyFont="1" applyBorder="1" applyAlignment="1">
      <alignment horizontal="center"/>
    </xf>
    <xf numFmtId="182" fontId="33" fillId="0" borderId="0" xfId="47" applyFont="1" applyBorder="1" applyAlignment="1">
      <alignment horizontal="center"/>
    </xf>
    <xf numFmtId="49" fontId="14" fillId="5" borderId="2" xfId="0" applyNumberFormat="1" applyFont="1" applyFill="1" applyBorder="1" applyAlignment="1">
      <alignment horizontal="center"/>
    </xf>
    <xf numFmtId="0" fontId="29" fillId="5" borderId="2" xfId="0" applyFont="1" applyFill="1" applyBorder="1" applyAlignment="1">
      <alignment horizontal="center"/>
    </xf>
    <xf numFmtId="49" fontId="6" fillId="5" borderId="2" xfId="0" applyNumberFormat="1" applyFont="1" applyFill="1" applyBorder="1" applyAlignment="1">
      <alignment horizontal="center"/>
    </xf>
    <xf numFmtId="0" fontId="6" fillId="5" borderId="26" xfId="0" applyFont="1" applyFill="1" applyBorder="1" applyAlignment="1">
      <alignment horizontal="left"/>
    </xf>
    <xf numFmtId="0" fontId="6" fillId="5" borderId="15" xfId="0" applyFont="1" applyFill="1" applyBorder="1" applyAlignment="1">
      <alignment horizontal="left"/>
    </xf>
    <xf numFmtId="0" fontId="6" fillId="5" borderId="25" xfId="0" applyFont="1" applyFill="1" applyBorder="1" applyAlignment="1">
      <alignment horizontal="left"/>
    </xf>
    <xf numFmtId="0" fontId="6" fillId="5" borderId="2" xfId="0" applyFont="1" applyFill="1" applyBorder="1" applyAlignment="1">
      <alignment horizontal="left"/>
    </xf>
    <xf numFmtId="49" fontId="6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33" fillId="0" borderId="1" xfId="0" applyFont="1" applyBorder="1" applyAlignment="1">
      <alignment horizont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5" borderId="26" xfId="0" applyFill="1" applyBorder="1" applyAlignment="1">
      <alignment horizontal="left"/>
    </xf>
    <xf numFmtId="0" fontId="0" fillId="5" borderId="15" xfId="0" applyFill="1" applyBorder="1" applyAlignment="1">
      <alignment horizontal="left"/>
    </xf>
    <xf numFmtId="0" fontId="0" fillId="5" borderId="26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5" xfId="0" applyBorder="1" applyAlignment="1">
      <alignment horizontal="center"/>
    </xf>
    <xf numFmtId="0" fontId="6" fillId="0" borderId="0" xfId="0" applyFont="1"/>
    <xf numFmtId="0" fontId="29" fillId="0" borderId="0" xfId="0" applyFont="1" applyAlignment="1"/>
    <xf numFmtId="0" fontId="0" fillId="5" borderId="0" xfId="0" applyFill="1"/>
    <xf numFmtId="0" fontId="33" fillId="0" borderId="0" xfId="0" applyFont="1" applyBorder="1" applyAlignment="1">
      <alignment horizontal="left"/>
    </xf>
    <xf numFmtId="182" fontId="16" fillId="0" borderId="0" xfId="47" applyFont="1" applyBorder="1" applyAlignment="1">
      <alignment horizontal="center"/>
    </xf>
    <xf numFmtId="0" fontId="14" fillId="5" borderId="2" xfId="0" applyFont="1" applyFill="1" applyBorder="1" applyAlignment="1">
      <alignment horizontal="center"/>
    </xf>
    <xf numFmtId="2" fontId="14" fillId="5" borderId="2" xfId="0" applyNumberFormat="1" applyFont="1" applyFill="1" applyBorder="1" applyAlignment="1">
      <alignment horizontal="center"/>
    </xf>
    <xf numFmtId="0" fontId="14" fillId="5" borderId="2" xfId="0" applyFont="1" applyFill="1" applyBorder="1"/>
    <xf numFmtId="177" fontId="6" fillId="5" borderId="2" xfId="0" applyNumberFormat="1" applyFont="1" applyFill="1" applyBorder="1" applyAlignment="1">
      <alignment horizontal="center"/>
    </xf>
    <xf numFmtId="177" fontId="6" fillId="5" borderId="2" xfId="0" applyNumberFormat="1" applyFont="1" applyFill="1" applyBorder="1"/>
    <xf numFmtId="177" fontId="29" fillId="5" borderId="2" xfId="0" applyNumberFormat="1" applyFont="1" applyFill="1" applyBorder="1" applyAlignment="1">
      <alignment horizontal="center"/>
    </xf>
    <xf numFmtId="177" fontId="6" fillId="0" borderId="0" xfId="0" applyNumberFormat="1" applyFont="1" applyAlignment="1">
      <alignment horizontal="center"/>
    </xf>
    <xf numFmtId="177" fontId="6" fillId="0" borderId="0" xfId="0" applyNumberFormat="1" applyFont="1"/>
    <xf numFmtId="177" fontId="19" fillId="0" borderId="0" xfId="0" applyNumberFormat="1" applyFont="1"/>
    <xf numFmtId="0" fontId="0" fillId="0" borderId="25" xfId="0" applyBorder="1" applyAlignment="1">
      <alignment horizontal="center"/>
    </xf>
    <xf numFmtId="177" fontId="0" fillId="5" borderId="2" xfId="0" applyNumberFormat="1" applyFill="1" applyBorder="1" applyAlignment="1">
      <alignment horizontal="center"/>
    </xf>
    <xf numFmtId="177" fontId="0" fillId="5" borderId="25" xfId="0" applyNumberFormat="1" applyFill="1" applyBorder="1" applyAlignment="1">
      <alignment horizontal="center"/>
    </xf>
    <xf numFmtId="177" fontId="0" fillId="0" borderId="2" xfId="0" applyNumberFormat="1" applyBorder="1" applyAlignment="1">
      <alignment horizontal="center"/>
    </xf>
    <xf numFmtId="177" fontId="0" fillId="0" borderId="25" xfId="0" applyNumberFormat="1" applyBorder="1" applyAlignment="1">
      <alignment horizontal="center"/>
    </xf>
    <xf numFmtId="177" fontId="0" fillId="0" borderId="2" xfId="0" applyNumberFormat="1" applyBorder="1"/>
    <xf numFmtId="177" fontId="0" fillId="0" borderId="25" xfId="0" applyNumberFormat="1" applyBorder="1"/>
    <xf numFmtId="177" fontId="14" fillId="0" borderId="2" xfId="0" applyNumberFormat="1" applyFont="1" applyBorder="1"/>
    <xf numFmtId="177" fontId="29" fillId="0" borderId="0" xfId="0" applyNumberFormat="1" applyFont="1"/>
    <xf numFmtId="0" fontId="29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17" fontId="14" fillId="0" borderId="1" xfId="0" applyNumberFormat="1" applyFont="1" applyBorder="1" applyAlignment="1">
      <alignment horizontal="center"/>
    </xf>
    <xf numFmtId="0" fontId="14" fillId="5" borderId="2" xfId="0" applyFont="1" applyFill="1" applyBorder="1" applyAlignment="1">
      <alignment horizontal="center" vertical="center"/>
    </xf>
    <xf numFmtId="177" fontId="29" fillId="5" borderId="2" xfId="0" applyNumberFormat="1" applyFont="1" applyFill="1" applyBorder="1"/>
    <xf numFmtId="15" fontId="6" fillId="5" borderId="2" xfId="0" applyNumberFormat="1" applyFont="1" applyFill="1" applyBorder="1"/>
    <xf numFmtId="0" fontId="0" fillId="5" borderId="2" xfId="0" applyFill="1" applyBorder="1" applyAlignment="1">
      <alignment vertical="center" wrapText="1"/>
    </xf>
    <xf numFmtId="0" fontId="0" fillId="5" borderId="2" xfId="0" applyFill="1" applyBorder="1" applyAlignment="1">
      <alignment vertical="center"/>
    </xf>
    <xf numFmtId="17" fontId="0" fillId="5" borderId="2" xfId="0" applyNumberFormat="1" applyFill="1" applyBorder="1" applyAlignment="1">
      <alignment vertical="center" wrapText="1"/>
    </xf>
    <xf numFmtId="0" fontId="0" fillId="5" borderId="2" xfId="0" applyFill="1" applyBorder="1"/>
    <xf numFmtId="15" fontId="6" fillId="0" borderId="0" xfId="0" applyNumberFormat="1" applyFont="1"/>
    <xf numFmtId="0" fontId="0" fillId="0" borderId="32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177" fontId="0" fillId="5" borderId="25" xfId="0" applyNumberFormat="1" applyFill="1" applyBorder="1"/>
    <xf numFmtId="16" fontId="0" fillId="5" borderId="2" xfId="0" applyNumberFormat="1" applyFill="1" applyBorder="1"/>
    <xf numFmtId="17" fontId="0" fillId="0" borderId="2" xfId="0" applyNumberFormat="1" applyBorder="1"/>
    <xf numFmtId="177" fontId="29" fillId="0" borderId="2" xfId="0" applyNumberFormat="1" applyFont="1" applyBorder="1"/>
    <xf numFmtId="0" fontId="29" fillId="0" borderId="0" xfId="0" applyFont="1" applyAlignment="1">
      <alignment horizontal="left"/>
    </xf>
    <xf numFmtId="49" fontId="14" fillId="0" borderId="2" xfId="0" applyNumberFormat="1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6" fillId="0" borderId="26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25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15" xfId="0" applyBorder="1" applyAlignment="1">
      <alignment horizontal="left"/>
    </xf>
    <xf numFmtId="2" fontId="14" fillId="0" borderId="2" xfId="0" applyNumberFormat="1" applyFont="1" applyBorder="1" applyAlignment="1">
      <alignment horizontal="center"/>
    </xf>
    <xf numFmtId="0" fontId="14" fillId="0" borderId="2" xfId="0" applyFont="1" applyBorder="1"/>
    <xf numFmtId="177" fontId="6" fillId="0" borderId="2" xfId="0" applyNumberFormat="1" applyFont="1" applyBorder="1" applyAlignment="1">
      <alignment horizontal="right"/>
    </xf>
    <xf numFmtId="0" fontId="14" fillId="0" borderId="2" xfId="0" applyFont="1" applyBorder="1" applyAlignment="1">
      <alignment horizontal="center" vertical="center"/>
    </xf>
    <xf numFmtId="15" fontId="6" fillId="0" borderId="2" xfId="0" applyNumberFormat="1" applyFont="1" applyBorder="1"/>
    <xf numFmtId="0" fontId="0" fillId="0" borderId="2" xfId="0" applyBorder="1" applyAlignment="1">
      <alignment vertical="center" wrapText="1"/>
    </xf>
    <xf numFmtId="17" fontId="0" fillId="0" borderId="2" xfId="0" applyNumberFormat="1" applyBorder="1" applyAlignment="1">
      <alignment vertical="center" wrapText="1"/>
    </xf>
    <xf numFmtId="0" fontId="0" fillId="0" borderId="2" xfId="0" applyBorder="1" applyAlignment="1">
      <alignment vertical="center"/>
    </xf>
    <xf numFmtId="16" fontId="0" fillId="0" borderId="2" xfId="0" applyNumberFormat="1" applyBorder="1"/>
    <xf numFmtId="17" fontId="0" fillId="0" borderId="2" xfId="0" applyNumberFormat="1" applyBorder="1" applyAlignment="1">
      <alignment vertical="top" wrapText="1"/>
    </xf>
    <xf numFmtId="0" fontId="0" fillId="0" borderId="2" xfId="0" applyBorder="1" applyAlignment="1">
      <alignment vertical="top" wrapText="1"/>
    </xf>
    <xf numFmtId="177" fontId="0" fillId="0" borderId="0" xfId="0" applyNumberFormat="1"/>
    <xf numFmtId="49" fontId="0" fillId="5" borderId="2" xfId="0" applyNumberFormat="1" applyFont="1" applyFill="1" applyBorder="1" applyAlignment="1">
      <alignment horizontal="center"/>
    </xf>
    <xf numFmtId="0" fontId="29" fillId="5" borderId="15" xfId="0" applyFont="1" applyFill="1" applyBorder="1" applyAlignment="1">
      <alignment horizontal="center"/>
    </xf>
    <xf numFmtId="0" fontId="29" fillId="5" borderId="25" xfId="0" applyFont="1" applyFill="1" applyBorder="1" applyAlignment="1">
      <alignment horizontal="center"/>
    </xf>
    <xf numFmtId="0" fontId="29" fillId="5" borderId="26" xfId="0" applyFont="1" applyFill="1" applyBorder="1" applyAlignment="1">
      <alignment horizontal="center"/>
    </xf>
    <xf numFmtId="177" fontId="14" fillId="5" borderId="2" xfId="0" applyNumberFormat="1" applyFont="1" applyFill="1" applyBorder="1" applyAlignment="1">
      <alignment horizontal="right"/>
    </xf>
    <xf numFmtId="177" fontId="14" fillId="5" borderId="2" xfId="0" applyNumberFormat="1" applyFont="1" applyFill="1" applyBorder="1" applyAlignment="1">
      <alignment horizontal="center"/>
    </xf>
    <xf numFmtId="177" fontId="14" fillId="5" borderId="2" xfId="0" applyNumberFormat="1" applyFont="1" applyFill="1" applyBorder="1"/>
    <xf numFmtId="177" fontId="6" fillId="5" borderId="2" xfId="0" applyNumberFormat="1" applyFont="1" applyFill="1" applyBorder="1" applyAlignment="1">
      <alignment horizontal="right"/>
    </xf>
    <xf numFmtId="177" fontId="29" fillId="5" borderId="2" xfId="0" applyNumberFormat="1" applyFont="1" applyFill="1" applyBorder="1" applyAlignment="1">
      <alignment horizontal="right"/>
    </xf>
    <xf numFmtId="177" fontId="0" fillId="5" borderId="2" xfId="0" applyNumberFormat="1" applyFont="1" applyFill="1" applyBorder="1" applyAlignment="1">
      <alignment horizontal="center" vertical="center"/>
    </xf>
    <xf numFmtId="0" fontId="0" fillId="5" borderId="2" xfId="0" applyFont="1" applyFill="1" applyBorder="1" applyAlignment="1">
      <alignment horizontal="left"/>
    </xf>
    <xf numFmtId="17" fontId="0" fillId="5" borderId="2" xfId="0" applyNumberFormat="1" applyFill="1" applyBorder="1" applyAlignment="1">
      <alignment vertical="center"/>
    </xf>
    <xf numFmtId="0" fontId="0" fillId="5" borderId="2" xfId="0" applyFill="1" applyBorder="1" applyAlignment="1">
      <alignment vertical="top" wrapText="1"/>
    </xf>
    <xf numFmtId="0" fontId="29" fillId="0" borderId="26" xfId="0" applyFont="1" applyBorder="1" applyAlignment="1">
      <alignment horizontal="left"/>
    </xf>
    <xf numFmtId="0" fontId="29" fillId="0" borderId="15" xfId="0" applyFont="1" applyBorder="1" applyAlignment="1">
      <alignment horizontal="left"/>
    </xf>
    <xf numFmtId="0" fontId="29" fillId="0" borderId="25" xfId="0" applyFont="1" applyBorder="1" applyAlignment="1">
      <alignment horizontal="left"/>
    </xf>
    <xf numFmtId="177" fontId="29" fillId="0" borderId="2" xfId="0" applyNumberFormat="1" applyFont="1" applyBorder="1" applyAlignment="1">
      <alignment horizontal="right"/>
    </xf>
    <xf numFmtId="0" fontId="14" fillId="0" borderId="2" xfId="0" applyFont="1" applyBorder="1" applyAlignment="1">
      <alignment vertical="center" wrapText="1"/>
    </xf>
    <xf numFmtId="177" fontId="34" fillId="0" borderId="2" xfId="0" applyNumberFormat="1" applyFont="1" applyBorder="1"/>
    <xf numFmtId="0" fontId="14" fillId="5" borderId="2" xfId="0" applyFont="1" applyFill="1" applyBorder="1" applyAlignment="1">
      <alignment vertical="center" wrapText="1"/>
    </xf>
    <xf numFmtId="0" fontId="6" fillId="0" borderId="15" xfId="0" applyFont="1" applyBorder="1" applyAlignment="1">
      <alignment horizontal="center"/>
    </xf>
    <xf numFmtId="0" fontId="6" fillId="0" borderId="25" xfId="0" applyFont="1" applyBorder="1" applyAlignment="1"/>
    <xf numFmtId="0" fontId="6" fillId="0" borderId="25" xfId="0" applyFont="1" applyBorder="1" applyAlignment="1">
      <alignment horizontal="center"/>
    </xf>
    <xf numFmtId="177" fontId="0" fillId="5" borderId="2" xfId="0" applyNumberFormat="1" applyFill="1" applyBorder="1"/>
    <xf numFmtId="17" fontId="0" fillId="5" borderId="2" xfId="0" applyNumberFormat="1" applyFill="1" applyBorder="1" applyAlignment="1">
      <alignment vertical="top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177" fontId="35" fillId="0" borderId="2" xfId="0" applyNumberFormat="1" applyFont="1" applyBorder="1"/>
    <xf numFmtId="0" fontId="36" fillId="0" borderId="2" xfId="0" applyFont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177" fontId="37" fillId="0" borderId="2" xfId="0" applyNumberFormat="1" applyFont="1" applyBorder="1" applyAlignment="1">
      <alignment horizontal="right"/>
    </xf>
    <xf numFmtId="17" fontId="0" fillId="0" borderId="2" xfId="0" applyNumberFormat="1" applyFont="1" applyBorder="1" applyAlignment="1">
      <alignment horizontal="center" vertical="center" wrapText="1"/>
    </xf>
    <xf numFmtId="0" fontId="37" fillId="0" borderId="2" xfId="0" applyFont="1" applyBorder="1" applyAlignment="1">
      <alignment horizontal="center" vertical="center" wrapText="1"/>
    </xf>
    <xf numFmtId="0" fontId="0" fillId="3" borderId="0" xfId="0" applyFill="1"/>
    <xf numFmtId="0" fontId="14" fillId="0" borderId="1" xfId="0" applyFont="1" applyBorder="1" applyAlignment="1">
      <alignment horizontal="center"/>
    </xf>
    <xf numFmtId="0" fontId="15" fillId="3" borderId="2" xfId="0" applyFont="1" applyFill="1" applyBorder="1"/>
    <xf numFmtId="0" fontId="15" fillId="3" borderId="2" xfId="0" applyFont="1" applyFill="1" applyBorder="1" applyAlignment="1">
      <alignment horizontal="center"/>
    </xf>
    <xf numFmtId="0" fontId="29" fillId="0" borderId="2" xfId="0" applyFont="1" applyBorder="1"/>
    <xf numFmtId="0" fontId="38" fillId="6" borderId="2" xfId="0" applyNumberFormat="1" applyFont="1" applyFill="1" applyBorder="1" applyAlignment="1">
      <alignment horizontal="center"/>
    </xf>
    <xf numFmtId="0" fontId="15" fillId="6" borderId="2" xfId="0" applyNumberFormat="1" applyFont="1" applyFill="1" applyBorder="1" applyAlignment="1">
      <alignment horizontal="center"/>
    </xf>
    <xf numFmtId="0" fontId="15" fillId="5" borderId="2" xfId="0" applyNumberFormat="1" applyFont="1" applyFill="1" applyBorder="1" applyAlignment="1">
      <alignment horizontal="center"/>
    </xf>
    <xf numFmtId="0" fontId="38" fillId="5" borderId="2" xfId="0" applyNumberFormat="1" applyFont="1" applyFill="1" applyBorder="1" applyAlignment="1">
      <alignment horizontal="center"/>
    </xf>
    <xf numFmtId="0" fontId="19" fillId="6" borderId="2" xfId="0" applyNumberFormat="1" applyFont="1" applyFill="1" applyBorder="1" applyAlignment="1">
      <alignment horizontal="center"/>
    </xf>
    <xf numFmtId="0" fontId="15" fillId="3" borderId="2" xfId="0" applyNumberFormat="1" applyFont="1" applyFill="1" applyBorder="1"/>
    <xf numFmtId="0" fontId="15" fillId="3" borderId="2" xfId="0" applyNumberFormat="1" applyFont="1" applyFill="1" applyBorder="1" applyAlignment="1">
      <alignment horizontal="center"/>
    </xf>
    <xf numFmtId="0" fontId="15" fillId="3" borderId="26" xfId="0" applyNumberFormat="1" applyFont="1" applyFill="1" applyBorder="1" applyAlignment="1">
      <alignment horizontal="center"/>
    </xf>
    <xf numFmtId="0" fontId="0" fillId="3" borderId="0" xfId="0" applyFill="1" applyBorder="1"/>
    <xf numFmtId="0" fontId="6" fillId="3" borderId="0" xfId="0" applyFont="1" applyFill="1" applyBorder="1"/>
    <xf numFmtId="0" fontId="6" fillId="0" borderId="0" xfId="0" applyFont="1" applyBorder="1" applyAlignment="1">
      <alignment horizontal="right"/>
    </xf>
    <xf numFmtId="0" fontId="6" fillId="3" borderId="0" xfId="0" applyFont="1" applyFill="1" applyBorder="1" applyAlignment="1">
      <alignment horizontal="right"/>
    </xf>
    <xf numFmtId="0" fontId="6" fillId="0" borderId="0" xfId="0" applyFont="1" applyFill="1" applyBorder="1"/>
    <xf numFmtId="0" fontId="15" fillId="0" borderId="2" xfId="0" applyNumberFormat="1" applyFont="1" applyBorder="1" applyAlignment="1">
      <alignment horizontal="center"/>
    </xf>
    <xf numFmtId="0" fontId="15" fillId="3" borderId="15" xfId="0" applyNumberFormat="1" applyFont="1" applyFill="1" applyBorder="1" applyAlignment="1">
      <alignment horizontal="center"/>
    </xf>
    <xf numFmtId="0" fontId="0" fillId="0" borderId="0" xfId="0" applyBorder="1" applyAlignment="1"/>
    <xf numFmtId="177" fontId="0" fillId="0" borderId="0" xfId="0" applyNumberFormat="1" applyBorder="1" applyAlignment="1"/>
    <xf numFmtId="177" fontId="0" fillId="0" borderId="0" xfId="0" applyNumberFormat="1" applyBorder="1" applyAlignment="1">
      <alignment horizontal="left"/>
    </xf>
    <xf numFmtId="0" fontId="15" fillId="7" borderId="2" xfId="0" applyNumberFormat="1" applyFont="1" applyFill="1" applyBorder="1" applyAlignment="1">
      <alignment horizontal="center"/>
    </xf>
    <xf numFmtId="0" fontId="7" fillId="0" borderId="26" xfId="0" applyNumberFormat="1" applyFont="1" applyBorder="1" applyAlignment="1">
      <alignment horizontal="center"/>
    </xf>
    <xf numFmtId="0" fontId="7" fillId="0" borderId="15" xfId="0" applyNumberFormat="1" applyFont="1" applyBorder="1" applyAlignment="1">
      <alignment horizontal="center"/>
    </xf>
    <xf numFmtId="0" fontId="15" fillId="3" borderId="25" xfId="0" applyNumberFormat="1" applyFont="1" applyFill="1" applyBorder="1" applyAlignment="1">
      <alignment horizontal="center"/>
    </xf>
    <xf numFmtId="49" fontId="15" fillId="5" borderId="2" xfId="0" applyNumberFormat="1" applyFont="1" applyFill="1" applyBorder="1" applyAlignment="1">
      <alignment horizontal="center"/>
    </xf>
    <xf numFmtId="0" fontId="39" fillId="5" borderId="2" xfId="0" applyNumberFormat="1" applyFont="1" applyFill="1" applyBorder="1" applyAlignment="1">
      <alignment horizontal="center"/>
    </xf>
    <xf numFmtId="0" fontId="15" fillId="7" borderId="26" xfId="0" applyNumberFormat="1" applyFont="1" applyFill="1" applyBorder="1" applyAlignment="1">
      <alignment horizontal="center"/>
    </xf>
    <xf numFmtId="0" fontId="15" fillId="7" borderId="15" xfId="0" applyNumberFormat="1" applyFont="1" applyFill="1" applyBorder="1" applyAlignment="1">
      <alignment horizontal="center"/>
    </xf>
    <xf numFmtId="0" fontId="15" fillId="7" borderId="25" xfId="0" applyNumberFormat="1" applyFont="1" applyFill="1" applyBorder="1" applyAlignment="1">
      <alignment horizontal="center"/>
    </xf>
    <xf numFmtId="0" fontId="15" fillId="7" borderId="2" xfId="0" applyNumberFormat="1" applyFont="1" applyFill="1" applyBorder="1" applyAlignment="1">
      <alignment horizontal="left"/>
    </xf>
    <xf numFmtId="0" fontId="15" fillId="7" borderId="26" xfId="0" applyNumberFormat="1" applyFont="1" applyFill="1" applyBorder="1" applyAlignment="1">
      <alignment horizontal="left"/>
    </xf>
    <xf numFmtId="0" fontId="15" fillId="7" borderId="15" xfId="0" applyNumberFormat="1" applyFont="1" applyFill="1" applyBorder="1" applyAlignment="1">
      <alignment horizontal="left"/>
    </xf>
    <xf numFmtId="0" fontId="0" fillId="5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15" fillId="7" borderId="25" xfId="0" applyNumberFormat="1" applyFont="1" applyFill="1" applyBorder="1" applyAlignment="1">
      <alignment horizontal="left"/>
    </xf>
    <xf numFmtId="0" fontId="7" fillId="0" borderId="25" xfId="0" applyNumberFormat="1" applyFont="1" applyBorder="1" applyAlignment="1">
      <alignment horizontal="center"/>
    </xf>
    <xf numFmtId="0" fontId="40" fillId="0" borderId="2" xfId="0" applyFont="1" applyFill="1" applyBorder="1" applyAlignment="1">
      <alignment horizontal="center"/>
    </xf>
    <xf numFmtId="177" fontId="6" fillId="0" borderId="2" xfId="0" applyNumberFormat="1" applyFont="1" applyBorder="1"/>
    <xf numFmtId="177" fontId="31" fillId="0" borderId="2" xfId="0" applyNumberFormat="1" applyFont="1" applyBorder="1"/>
    <xf numFmtId="0" fontId="7" fillId="0" borderId="0" xfId="0" applyFont="1"/>
    <xf numFmtId="0" fontId="16" fillId="0" borderId="0" xfId="0" applyFont="1"/>
    <xf numFmtId="0" fontId="41" fillId="0" borderId="0" xfId="0" applyFont="1"/>
    <xf numFmtId="0" fontId="15" fillId="0" borderId="6" xfId="0" applyFont="1" applyBorder="1" applyAlignment="1" quotePrefix="1">
      <alignment horizontal="center" vertical="center"/>
    </xf>
    <xf numFmtId="0" fontId="15" fillId="0" borderId="6" xfId="0" applyFont="1" applyBorder="1" applyAlignment="1" quotePrefix="1">
      <alignment horizontal="center"/>
    </xf>
  </cellXfs>
  <cellStyles count="49">
    <cellStyle name="Normal" xfId="0" builtinId="0"/>
    <cellStyle name="60% - Acento6" xfId="1" builtinId="52"/>
    <cellStyle name="Nota" xfId="2" builtinId="10"/>
    <cellStyle name="20% - Acento5" xfId="3" builtinId="46"/>
    <cellStyle name="60% - Acento4" xfId="4" builtinId="44"/>
    <cellStyle name="Acento5" xfId="5" builtinId="45"/>
    <cellStyle name="40% - Acento4" xfId="6" builtinId="43"/>
    <cellStyle name="20% - Acento4" xfId="7" builtinId="42"/>
    <cellStyle name="60% - Acento3" xfId="8" builtinId="40"/>
    <cellStyle name="Acento4" xfId="9" builtinId="41"/>
    <cellStyle name="Hipervínculo" xfId="10" builtinId="8"/>
    <cellStyle name="40% - Acento3" xfId="11" builtinId="39"/>
    <cellStyle name="60% - Acento2" xfId="12" builtinId="36"/>
    <cellStyle name="20% - Acento2" xfId="13" builtinId="34"/>
    <cellStyle name="60% - Acento1" xfId="14" builtinId="32"/>
    <cellStyle name="Porcentaje" xfId="15" builtinId="5"/>
    <cellStyle name="Texto Explicativo" xfId="16" builtinId="53"/>
    <cellStyle name="20% - Acento1" xfId="17" builtinId="30"/>
    <cellStyle name="Acento1" xfId="18" builtinId="29"/>
    <cellStyle name="Neutral" xfId="19" builtinId="28"/>
    <cellStyle name="Verificar Celda" xfId="20" builtinId="23"/>
    <cellStyle name="20% - Acento6" xfId="21" builtinId="50"/>
    <cellStyle name="Hipervínculo Seguido" xfId="22" builtinId="9"/>
    <cellStyle name="Malo" xfId="23" builtinId="27"/>
    <cellStyle name="Encabezado 1" xfId="24" builtinId="16"/>
    <cellStyle name="Cálculo" xfId="25" builtinId="22"/>
    <cellStyle name="Encabezado 3" xfId="26" builtinId="18"/>
    <cellStyle name="Celda Vinculada" xfId="27" builtinId="24"/>
    <cellStyle name="Salida" xfId="28" builtinId="21"/>
    <cellStyle name="Título" xfId="29" builtinId="15"/>
    <cellStyle name="Encabezado 4" xfId="30" builtinId="19"/>
    <cellStyle name="Acento6" xfId="31" builtinId="49"/>
    <cellStyle name="40% - Acento5" xfId="32" builtinId="47"/>
    <cellStyle name="Total" xfId="33" builtinId="25"/>
    <cellStyle name="Encabezado 2" xfId="34" builtinId="17"/>
    <cellStyle name="20% - Acento3" xfId="35" builtinId="38"/>
    <cellStyle name="Acento3" xfId="36" builtinId="37"/>
    <cellStyle name="Entrada" xfId="37" builtinId="20"/>
    <cellStyle name="40% - Acento2" xfId="38" builtinId="35"/>
    <cellStyle name="Texto de Advertencia" xfId="39" builtinId="11"/>
    <cellStyle name="Acento2" xfId="40" builtinId="33"/>
    <cellStyle name="40% - Acento1" xfId="41" builtinId="31"/>
    <cellStyle name="Coma" xfId="42" builtinId="3"/>
    <cellStyle name="40% - Acento6" xfId="43" builtinId="51"/>
    <cellStyle name="Moneda[0]" xfId="44" builtinId="7"/>
    <cellStyle name="60% - Acento5" xfId="45" builtinId="48"/>
    <cellStyle name="Bueno" xfId="46" builtinId="26"/>
    <cellStyle name="Moneda" xfId="47" builtinId="4"/>
    <cellStyle name="Coma[0]" xfId="48" builtinId="6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9" defaultPivotStyle="PivotStylePreset2_Accent1">
    <tableStyle name="PivotStylePreset2_Accent1" table="0" count="10" xr9:uid="267968C86FFD4C36ACC19EA1FD1885CA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327025</xdr:colOff>
      <xdr:row>0</xdr:row>
      <xdr:rowOff>27940</xdr:rowOff>
    </xdr:from>
    <xdr:to>
      <xdr:col>1</xdr:col>
      <xdr:colOff>989330</xdr:colOff>
      <xdr:row>0</xdr:row>
      <xdr:rowOff>712470</xdr:rowOff>
    </xdr:to>
    <xdr:pic>
      <xdr:nvPicPr>
        <xdr:cNvPr id="1353" name="Imagen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3255" y="27940"/>
          <a:ext cx="662305" cy="684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691515</xdr:colOff>
      <xdr:row>0</xdr:row>
      <xdr:rowOff>27940</xdr:rowOff>
    </xdr:from>
    <xdr:to>
      <xdr:col>22</xdr:col>
      <xdr:colOff>642620</xdr:colOff>
      <xdr:row>0</xdr:row>
      <xdr:rowOff>706120</xdr:rowOff>
    </xdr:to>
    <xdr:pic>
      <xdr:nvPicPr>
        <xdr:cNvPr id="1354" name="Imagen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298180" y="27940"/>
          <a:ext cx="732155" cy="6781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151765</xdr:colOff>
      <xdr:row>0</xdr:row>
      <xdr:rowOff>56515</xdr:rowOff>
    </xdr:from>
    <xdr:to>
      <xdr:col>2</xdr:col>
      <xdr:colOff>59690</xdr:colOff>
      <xdr:row>1</xdr:row>
      <xdr:rowOff>47625</xdr:rowOff>
    </xdr:to>
    <xdr:pic>
      <xdr:nvPicPr>
        <xdr:cNvPr id="8279" name="Imagen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25170" y="56515"/>
          <a:ext cx="666115" cy="715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20320</xdr:colOff>
      <xdr:row>0</xdr:row>
      <xdr:rowOff>152400</xdr:rowOff>
    </xdr:from>
    <xdr:to>
      <xdr:col>11</xdr:col>
      <xdr:colOff>652780</xdr:colOff>
      <xdr:row>1</xdr:row>
      <xdr:rowOff>19050</xdr:rowOff>
    </xdr:to>
    <xdr:pic>
      <xdr:nvPicPr>
        <xdr:cNvPr id="8280" name="Imagen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371080" y="152400"/>
          <a:ext cx="632460" cy="590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151765</xdr:colOff>
      <xdr:row>65</xdr:row>
      <xdr:rowOff>56515</xdr:rowOff>
    </xdr:from>
    <xdr:to>
      <xdr:col>2</xdr:col>
      <xdr:colOff>59690</xdr:colOff>
      <xdr:row>69</xdr:row>
      <xdr:rowOff>72390</xdr:rowOff>
    </xdr:to>
    <xdr:pic>
      <xdr:nvPicPr>
        <xdr:cNvPr id="8281" name="Imagen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25170" y="11710670"/>
          <a:ext cx="666115" cy="715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20320</xdr:colOff>
      <xdr:row>65</xdr:row>
      <xdr:rowOff>152400</xdr:rowOff>
    </xdr:from>
    <xdr:to>
      <xdr:col>11</xdr:col>
      <xdr:colOff>652780</xdr:colOff>
      <xdr:row>69</xdr:row>
      <xdr:rowOff>43815</xdr:rowOff>
    </xdr:to>
    <xdr:pic>
      <xdr:nvPicPr>
        <xdr:cNvPr id="8282" name="Imagen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371080" y="11806555"/>
          <a:ext cx="632460" cy="590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151765</xdr:colOff>
      <xdr:row>131</xdr:row>
      <xdr:rowOff>56515</xdr:rowOff>
    </xdr:from>
    <xdr:to>
      <xdr:col>2</xdr:col>
      <xdr:colOff>59690</xdr:colOff>
      <xdr:row>135</xdr:row>
      <xdr:rowOff>72390</xdr:rowOff>
    </xdr:to>
    <xdr:pic>
      <xdr:nvPicPr>
        <xdr:cNvPr id="8283" name="Imagen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25170" y="22949535"/>
          <a:ext cx="666115" cy="715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20320</xdr:colOff>
      <xdr:row>131</xdr:row>
      <xdr:rowOff>152400</xdr:rowOff>
    </xdr:from>
    <xdr:to>
      <xdr:col>11</xdr:col>
      <xdr:colOff>652780</xdr:colOff>
      <xdr:row>135</xdr:row>
      <xdr:rowOff>43815</xdr:rowOff>
    </xdr:to>
    <xdr:pic>
      <xdr:nvPicPr>
        <xdr:cNvPr id="8284" name="Imagen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371080" y="23045420"/>
          <a:ext cx="632460" cy="590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132715</xdr:colOff>
      <xdr:row>193</xdr:row>
      <xdr:rowOff>85725</xdr:rowOff>
    </xdr:from>
    <xdr:to>
      <xdr:col>2</xdr:col>
      <xdr:colOff>39370</xdr:colOff>
      <xdr:row>197</xdr:row>
      <xdr:rowOff>114935</xdr:rowOff>
    </xdr:to>
    <xdr:pic>
      <xdr:nvPicPr>
        <xdr:cNvPr id="8285" name="Imagen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6120" y="33871535"/>
          <a:ext cx="664845" cy="71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20320</xdr:colOff>
      <xdr:row>194</xdr:row>
      <xdr:rowOff>152400</xdr:rowOff>
    </xdr:from>
    <xdr:to>
      <xdr:col>11</xdr:col>
      <xdr:colOff>652780</xdr:colOff>
      <xdr:row>198</xdr:row>
      <xdr:rowOff>52705</xdr:rowOff>
    </xdr:to>
    <xdr:pic>
      <xdr:nvPicPr>
        <xdr:cNvPr id="8286" name="Imagen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371080" y="34107755"/>
          <a:ext cx="632460" cy="599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132715</xdr:colOff>
      <xdr:row>239</xdr:row>
      <xdr:rowOff>85725</xdr:rowOff>
    </xdr:from>
    <xdr:to>
      <xdr:col>2</xdr:col>
      <xdr:colOff>39370</xdr:colOff>
      <xdr:row>243</xdr:row>
      <xdr:rowOff>114935</xdr:rowOff>
    </xdr:to>
    <xdr:pic>
      <xdr:nvPicPr>
        <xdr:cNvPr id="8287" name="Imagen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6120" y="41719500"/>
          <a:ext cx="664845" cy="71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20320</xdr:colOff>
      <xdr:row>240</xdr:row>
      <xdr:rowOff>152400</xdr:rowOff>
    </xdr:from>
    <xdr:to>
      <xdr:col>11</xdr:col>
      <xdr:colOff>652780</xdr:colOff>
      <xdr:row>244</xdr:row>
      <xdr:rowOff>52705</xdr:rowOff>
    </xdr:to>
    <xdr:pic>
      <xdr:nvPicPr>
        <xdr:cNvPr id="8288" name="Imagen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371080" y="41955720"/>
          <a:ext cx="632460" cy="599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132715</xdr:colOff>
      <xdr:row>279</xdr:row>
      <xdr:rowOff>85725</xdr:rowOff>
    </xdr:from>
    <xdr:to>
      <xdr:col>2</xdr:col>
      <xdr:colOff>39370</xdr:colOff>
      <xdr:row>283</xdr:row>
      <xdr:rowOff>114935</xdr:rowOff>
    </xdr:to>
    <xdr:pic>
      <xdr:nvPicPr>
        <xdr:cNvPr id="8289" name="Imagen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6120" y="48550195"/>
          <a:ext cx="664845" cy="71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20320</xdr:colOff>
      <xdr:row>280</xdr:row>
      <xdr:rowOff>152400</xdr:rowOff>
    </xdr:from>
    <xdr:to>
      <xdr:col>11</xdr:col>
      <xdr:colOff>652780</xdr:colOff>
      <xdr:row>284</xdr:row>
      <xdr:rowOff>52705</xdr:rowOff>
    </xdr:to>
    <xdr:pic>
      <xdr:nvPicPr>
        <xdr:cNvPr id="8290" name="Imagen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371080" y="48786415"/>
          <a:ext cx="632460" cy="599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132715</xdr:colOff>
      <xdr:row>326</xdr:row>
      <xdr:rowOff>85725</xdr:rowOff>
    </xdr:from>
    <xdr:to>
      <xdr:col>2</xdr:col>
      <xdr:colOff>39370</xdr:colOff>
      <xdr:row>330</xdr:row>
      <xdr:rowOff>114935</xdr:rowOff>
    </xdr:to>
    <xdr:pic>
      <xdr:nvPicPr>
        <xdr:cNvPr id="8291" name="Imagen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6120" y="56567705"/>
          <a:ext cx="664845" cy="71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20320</xdr:colOff>
      <xdr:row>327</xdr:row>
      <xdr:rowOff>152400</xdr:rowOff>
    </xdr:from>
    <xdr:to>
      <xdr:col>11</xdr:col>
      <xdr:colOff>652780</xdr:colOff>
      <xdr:row>331</xdr:row>
      <xdr:rowOff>52705</xdr:rowOff>
    </xdr:to>
    <xdr:pic>
      <xdr:nvPicPr>
        <xdr:cNvPr id="8292" name="Imagen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371080" y="56803925"/>
          <a:ext cx="632460" cy="5994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59055</xdr:colOff>
      <xdr:row>0</xdr:row>
      <xdr:rowOff>0</xdr:rowOff>
    </xdr:from>
    <xdr:to>
      <xdr:col>1</xdr:col>
      <xdr:colOff>652145</xdr:colOff>
      <xdr:row>2</xdr:row>
      <xdr:rowOff>190500</xdr:rowOff>
    </xdr:to>
    <xdr:pic>
      <xdr:nvPicPr>
        <xdr:cNvPr id="7420" name="Imagen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4340" y="0"/>
          <a:ext cx="593090" cy="619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59055</xdr:colOff>
      <xdr:row>0</xdr:row>
      <xdr:rowOff>19050</xdr:rowOff>
    </xdr:from>
    <xdr:to>
      <xdr:col>1</xdr:col>
      <xdr:colOff>652145</xdr:colOff>
      <xdr:row>3</xdr:row>
      <xdr:rowOff>9525</xdr:rowOff>
    </xdr:to>
    <xdr:pic>
      <xdr:nvPicPr>
        <xdr:cNvPr id="7421" name="Imagen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4340" y="19050"/>
          <a:ext cx="593090" cy="619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0</xdr:row>
      <xdr:rowOff>85725</xdr:rowOff>
    </xdr:from>
    <xdr:to>
      <xdr:col>7</xdr:col>
      <xdr:colOff>632460</xdr:colOff>
      <xdr:row>3</xdr:row>
      <xdr:rowOff>47625</xdr:rowOff>
    </xdr:to>
    <xdr:pic>
      <xdr:nvPicPr>
        <xdr:cNvPr id="7422" name="Imagen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770755" y="85725"/>
          <a:ext cx="632460" cy="590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59055</xdr:colOff>
      <xdr:row>44</xdr:row>
      <xdr:rowOff>0</xdr:rowOff>
    </xdr:from>
    <xdr:to>
      <xdr:col>1</xdr:col>
      <xdr:colOff>652145</xdr:colOff>
      <xdr:row>46</xdr:row>
      <xdr:rowOff>190500</xdr:rowOff>
    </xdr:to>
    <xdr:pic>
      <xdr:nvPicPr>
        <xdr:cNvPr id="7423" name="Imagen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4340" y="8963025"/>
          <a:ext cx="593090" cy="619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59055</xdr:colOff>
      <xdr:row>44</xdr:row>
      <xdr:rowOff>19050</xdr:rowOff>
    </xdr:from>
    <xdr:to>
      <xdr:col>1</xdr:col>
      <xdr:colOff>652145</xdr:colOff>
      <xdr:row>47</xdr:row>
      <xdr:rowOff>9525</xdr:rowOff>
    </xdr:to>
    <xdr:pic>
      <xdr:nvPicPr>
        <xdr:cNvPr id="7424" name="Imagen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4340" y="8982075"/>
          <a:ext cx="593090" cy="619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44</xdr:row>
      <xdr:rowOff>85725</xdr:rowOff>
    </xdr:from>
    <xdr:to>
      <xdr:col>7</xdr:col>
      <xdr:colOff>632460</xdr:colOff>
      <xdr:row>47</xdr:row>
      <xdr:rowOff>47625</xdr:rowOff>
    </xdr:to>
    <xdr:pic>
      <xdr:nvPicPr>
        <xdr:cNvPr id="7425" name="Imagen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770755" y="9048750"/>
          <a:ext cx="632460" cy="590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59055</xdr:colOff>
      <xdr:row>88</xdr:row>
      <xdr:rowOff>0</xdr:rowOff>
    </xdr:from>
    <xdr:to>
      <xdr:col>1</xdr:col>
      <xdr:colOff>652145</xdr:colOff>
      <xdr:row>90</xdr:row>
      <xdr:rowOff>190500</xdr:rowOff>
    </xdr:to>
    <xdr:pic>
      <xdr:nvPicPr>
        <xdr:cNvPr id="7426" name="Imagen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4340" y="17926050"/>
          <a:ext cx="593090" cy="619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59055</xdr:colOff>
      <xdr:row>88</xdr:row>
      <xdr:rowOff>19050</xdr:rowOff>
    </xdr:from>
    <xdr:to>
      <xdr:col>1</xdr:col>
      <xdr:colOff>652145</xdr:colOff>
      <xdr:row>91</xdr:row>
      <xdr:rowOff>9525</xdr:rowOff>
    </xdr:to>
    <xdr:pic>
      <xdr:nvPicPr>
        <xdr:cNvPr id="7427" name="Imagen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4340" y="17945100"/>
          <a:ext cx="593090" cy="619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88</xdr:row>
      <xdr:rowOff>85725</xdr:rowOff>
    </xdr:from>
    <xdr:to>
      <xdr:col>7</xdr:col>
      <xdr:colOff>632460</xdr:colOff>
      <xdr:row>91</xdr:row>
      <xdr:rowOff>47625</xdr:rowOff>
    </xdr:to>
    <xdr:pic>
      <xdr:nvPicPr>
        <xdr:cNvPr id="7428" name="Imagen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770755" y="18011775"/>
          <a:ext cx="632460" cy="590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59055</xdr:colOff>
      <xdr:row>132</xdr:row>
      <xdr:rowOff>0</xdr:rowOff>
    </xdr:from>
    <xdr:to>
      <xdr:col>1</xdr:col>
      <xdr:colOff>652145</xdr:colOff>
      <xdr:row>134</xdr:row>
      <xdr:rowOff>190500</xdr:rowOff>
    </xdr:to>
    <xdr:pic>
      <xdr:nvPicPr>
        <xdr:cNvPr id="7429" name="Imagen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4340" y="26889075"/>
          <a:ext cx="593090" cy="619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59055</xdr:colOff>
      <xdr:row>132</xdr:row>
      <xdr:rowOff>19050</xdr:rowOff>
    </xdr:from>
    <xdr:to>
      <xdr:col>1</xdr:col>
      <xdr:colOff>652145</xdr:colOff>
      <xdr:row>135</xdr:row>
      <xdr:rowOff>9525</xdr:rowOff>
    </xdr:to>
    <xdr:pic>
      <xdr:nvPicPr>
        <xdr:cNvPr id="7430" name="Imagen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4340" y="26908125"/>
          <a:ext cx="593090" cy="619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132</xdr:row>
      <xdr:rowOff>85725</xdr:rowOff>
    </xdr:from>
    <xdr:to>
      <xdr:col>7</xdr:col>
      <xdr:colOff>632460</xdr:colOff>
      <xdr:row>135</xdr:row>
      <xdr:rowOff>47625</xdr:rowOff>
    </xdr:to>
    <xdr:pic>
      <xdr:nvPicPr>
        <xdr:cNvPr id="7431" name="Imagen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770755" y="26974800"/>
          <a:ext cx="632460" cy="590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59055</xdr:colOff>
      <xdr:row>176</xdr:row>
      <xdr:rowOff>0</xdr:rowOff>
    </xdr:from>
    <xdr:to>
      <xdr:col>1</xdr:col>
      <xdr:colOff>652145</xdr:colOff>
      <xdr:row>178</xdr:row>
      <xdr:rowOff>190500</xdr:rowOff>
    </xdr:to>
    <xdr:pic>
      <xdr:nvPicPr>
        <xdr:cNvPr id="7432" name="Imagen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4340" y="35852100"/>
          <a:ext cx="593090" cy="619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59055</xdr:colOff>
      <xdr:row>176</xdr:row>
      <xdr:rowOff>19050</xdr:rowOff>
    </xdr:from>
    <xdr:to>
      <xdr:col>1</xdr:col>
      <xdr:colOff>652145</xdr:colOff>
      <xdr:row>179</xdr:row>
      <xdr:rowOff>9525</xdr:rowOff>
    </xdr:to>
    <xdr:pic>
      <xdr:nvPicPr>
        <xdr:cNvPr id="7433" name="Imagen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4340" y="35871150"/>
          <a:ext cx="593090" cy="619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176</xdr:row>
      <xdr:rowOff>85725</xdr:rowOff>
    </xdr:from>
    <xdr:to>
      <xdr:col>7</xdr:col>
      <xdr:colOff>632460</xdr:colOff>
      <xdr:row>179</xdr:row>
      <xdr:rowOff>47625</xdr:rowOff>
    </xdr:to>
    <xdr:pic>
      <xdr:nvPicPr>
        <xdr:cNvPr id="7434" name="Imagen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770755" y="35937825"/>
          <a:ext cx="632460" cy="590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59055</xdr:colOff>
      <xdr:row>214</xdr:row>
      <xdr:rowOff>0</xdr:rowOff>
    </xdr:from>
    <xdr:to>
      <xdr:col>1</xdr:col>
      <xdr:colOff>652145</xdr:colOff>
      <xdr:row>216</xdr:row>
      <xdr:rowOff>190500</xdr:rowOff>
    </xdr:to>
    <xdr:pic>
      <xdr:nvPicPr>
        <xdr:cNvPr id="7435" name="Imagen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4340" y="43672125"/>
          <a:ext cx="593090" cy="619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59055</xdr:colOff>
      <xdr:row>214</xdr:row>
      <xdr:rowOff>19050</xdr:rowOff>
    </xdr:from>
    <xdr:to>
      <xdr:col>1</xdr:col>
      <xdr:colOff>652145</xdr:colOff>
      <xdr:row>217</xdr:row>
      <xdr:rowOff>9525</xdr:rowOff>
    </xdr:to>
    <xdr:pic>
      <xdr:nvPicPr>
        <xdr:cNvPr id="7436" name="Imagen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4340" y="43691175"/>
          <a:ext cx="593090" cy="619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214</xdr:row>
      <xdr:rowOff>85725</xdr:rowOff>
    </xdr:from>
    <xdr:to>
      <xdr:col>7</xdr:col>
      <xdr:colOff>632460</xdr:colOff>
      <xdr:row>217</xdr:row>
      <xdr:rowOff>47625</xdr:rowOff>
    </xdr:to>
    <xdr:pic>
      <xdr:nvPicPr>
        <xdr:cNvPr id="7437" name="Imagen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770755" y="43757850"/>
          <a:ext cx="632460" cy="5905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238125</xdr:colOff>
      <xdr:row>0</xdr:row>
      <xdr:rowOff>95250</xdr:rowOff>
    </xdr:from>
    <xdr:to>
      <xdr:col>1</xdr:col>
      <xdr:colOff>702310</xdr:colOff>
      <xdr:row>3</xdr:row>
      <xdr:rowOff>0</xdr:rowOff>
    </xdr:to>
    <xdr:pic>
      <xdr:nvPicPr>
        <xdr:cNvPr id="5011" name="Imagen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5455" y="95250"/>
          <a:ext cx="464185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118745</xdr:colOff>
      <xdr:row>0</xdr:row>
      <xdr:rowOff>95250</xdr:rowOff>
    </xdr:from>
    <xdr:to>
      <xdr:col>10</xdr:col>
      <xdr:colOff>603250</xdr:colOff>
      <xdr:row>2</xdr:row>
      <xdr:rowOff>171450</xdr:rowOff>
    </xdr:to>
    <xdr:pic>
      <xdr:nvPicPr>
        <xdr:cNvPr id="5012" name="Imagen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307330" y="95250"/>
          <a:ext cx="484505" cy="457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455295</xdr:colOff>
      <xdr:row>134</xdr:row>
      <xdr:rowOff>0</xdr:rowOff>
    </xdr:from>
    <xdr:to>
      <xdr:col>1</xdr:col>
      <xdr:colOff>919480</xdr:colOff>
      <xdr:row>136</xdr:row>
      <xdr:rowOff>95250</xdr:rowOff>
    </xdr:to>
    <xdr:pic>
      <xdr:nvPicPr>
        <xdr:cNvPr id="5013" name="Imagen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2625" y="19691985"/>
          <a:ext cx="464185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134</xdr:row>
      <xdr:rowOff>0</xdr:rowOff>
    </xdr:from>
    <xdr:to>
      <xdr:col>10</xdr:col>
      <xdr:colOff>484505</xdr:colOff>
      <xdr:row>136</xdr:row>
      <xdr:rowOff>76200</xdr:rowOff>
    </xdr:to>
    <xdr:pic>
      <xdr:nvPicPr>
        <xdr:cNvPr id="5014" name="Imagen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188585" y="19691985"/>
          <a:ext cx="484505" cy="457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266700</xdr:colOff>
      <xdr:row>265</xdr:row>
      <xdr:rowOff>47625</xdr:rowOff>
    </xdr:from>
    <xdr:to>
      <xdr:col>1</xdr:col>
      <xdr:colOff>732155</xdr:colOff>
      <xdr:row>267</xdr:row>
      <xdr:rowOff>142875</xdr:rowOff>
    </xdr:to>
    <xdr:pic>
      <xdr:nvPicPr>
        <xdr:cNvPr id="5015" name="Imagen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94030" y="38701980"/>
          <a:ext cx="465455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613410</xdr:colOff>
      <xdr:row>264</xdr:row>
      <xdr:rowOff>180975</xdr:rowOff>
    </xdr:from>
    <xdr:to>
      <xdr:col>10</xdr:col>
      <xdr:colOff>434975</xdr:colOff>
      <xdr:row>267</xdr:row>
      <xdr:rowOff>66675</xdr:rowOff>
    </xdr:to>
    <xdr:pic>
      <xdr:nvPicPr>
        <xdr:cNvPr id="5016" name="Imagen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139690" y="38644830"/>
          <a:ext cx="483870" cy="457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276860</xdr:colOff>
      <xdr:row>0</xdr:row>
      <xdr:rowOff>57785</xdr:rowOff>
    </xdr:from>
    <xdr:to>
      <xdr:col>2</xdr:col>
      <xdr:colOff>247650</xdr:colOff>
      <xdr:row>1</xdr:row>
      <xdr:rowOff>180975</xdr:rowOff>
    </xdr:to>
    <xdr:pic>
      <xdr:nvPicPr>
        <xdr:cNvPr id="5431" name="Imagen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63245" y="57785"/>
          <a:ext cx="573405" cy="599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168275</xdr:colOff>
      <xdr:row>0</xdr:row>
      <xdr:rowOff>85725</xdr:rowOff>
    </xdr:from>
    <xdr:to>
      <xdr:col>6</xdr:col>
      <xdr:colOff>741045</xdr:colOff>
      <xdr:row>1</xdr:row>
      <xdr:rowOff>152400</xdr:rowOff>
    </xdr:to>
    <xdr:pic>
      <xdr:nvPicPr>
        <xdr:cNvPr id="5432" name="Imagen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802630" y="85725"/>
          <a:ext cx="572770" cy="5429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C36"/>
  <sheetViews>
    <sheetView topLeftCell="A4" workbookViewId="0">
      <selection activeCell="C9" sqref="C9"/>
    </sheetView>
  </sheetViews>
  <sheetFormatPr defaultColWidth="10.954128440367" defaultRowHeight="15"/>
  <cols>
    <col min="1" max="1" width="4.56880733944954" customWidth="1"/>
    <col min="2" max="2" width="31" customWidth="1"/>
    <col min="3" max="3" width="5.85321100917431" customWidth="1"/>
    <col min="4" max="4" width="5.70642201834862" style="362" hidden="1" customWidth="1"/>
    <col min="5" max="9" width="5.70642201834862" style="91" hidden="1" customWidth="1"/>
    <col min="10" max="17" width="5.70642201834862" style="91" customWidth="1"/>
    <col min="18" max="21" width="5.70642201834862" customWidth="1"/>
    <col min="22" max="22" width="11.2844036697248" customWidth="1"/>
    <col min="23" max="23" width="10" customWidth="1"/>
    <col min="24" max="26" width="5.70642201834862" customWidth="1"/>
    <col min="27" max="28" width="5.85321100917431" customWidth="1"/>
    <col min="29" max="29" width="7.85321100917431" customWidth="1"/>
  </cols>
  <sheetData>
    <row r="1" ht="63" customHeight="1" spans="5:21"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2:17">
      <c r="B2" s="363" t="s">
        <v>1</v>
      </c>
      <c r="C2" s="363"/>
      <c r="D2" s="363"/>
      <c r="E2" s="363"/>
      <c r="F2" s="363"/>
      <c r="G2" s="363"/>
      <c r="H2" s="363"/>
      <c r="I2" s="363"/>
      <c r="J2" s="363"/>
      <c r="K2" s="363"/>
      <c r="L2" s="363"/>
      <c r="M2" s="363"/>
      <c r="N2" s="363"/>
      <c r="O2" s="363"/>
      <c r="P2" s="363"/>
      <c r="Q2" s="363"/>
    </row>
    <row r="3" spans="1:23">
      <c r="A3" s="21"/>
      <c r="B3" s="21"/>
      <c r="C3" s="364" t="s">
        <v>2</v>
      </c>
      <c r="D3" s="365" t="s">
        <v>3</v>
      </c>
      <c r="E3" s="45" t="s">
        <v>4</v>
      </c>
      <c r="F3" s="45" t="s">
        <v>5</v>
      </c>
      <c r="G3" s="45" t="s">
        <v>6</v>
      </c>
      <c r="H3" s="45" t="s">
        <v>6</v>
      </c>
      <c r="I3" s="45" t="s">
        <v>7</v>
      </c>
      <c r="J3" s="45" t="s">
        <v>8</v>
      </c>
      <c r="K3" s="45" t="s">
        <v>9</v>
      </c>
      <c r="L3" s="45" t="s">
        <v>10</v>
      </c>
      <c r="M3" s="45" t="s">
        <v>11</v>
      </c>
      <c r="N3" s="45" t="s">
        <v>12</v>
      </c>
      <c r="O3" s="45" t="s">
        <v>13</v>
      </c>
      <c r="P3" s="45" t="s">
        <v>14</v>
      </c>
      <c r="Q3" s="45" t="s">
        <v>3</v>
      </c>
      <c r="R3" s="45" t="s">
        <v>4</v>
      </c>
      <c r="S3" s="45" t="s">
        <v>5</v>
      </c>
      <c r="T3" s="45" t="s">
        <v>6</v>
      </c>
      <c r="U3" s="45" t="s">
        <v>7</v>
      </c>
      <c r="V3" s="401" t="s">
        <v>15</v>
      </c>
      <c r="W3" s="318" t="s">
        <v>16</v>
      </c>
    </row>
    <row r="4" ht="15.75" spans="1:29">
      <c r="A4" s="21">
        <v>1</v>
      </c>
      <c r="B4" s="366" t="s">
        <v>17</v>
      </c>
      <c r="C4" s="367"/>
      <c r="D4" s="367"/>
      <c r="E4" s="367"/>
      <c r="F4" s="367"/>
      <c r="G4" s="367"/>
      <c r="H4" s="367"/>
      <c r="I4" s="367"/>
      <c r="J4" s="369">
        <v>1</v>
      </c>
      <c r="K4" s="369">
        <v>15</v>
      </c>
      <c r="L4" s="369">
        <v>24</v>
      </c>
      <c r="M4" s="389" t="s">
        <v>18</v>
      </c>
      <c r="N4" s="369">
        <v>59</v>
      </c>
      <c r="O4" s="369">
        <v>59</v>
      </c>
      <c r="P4" s="369">
        <v>73</v>
      </c>
      <c r="Q4" s="369">
        <v>73</v>
      </c>
      <c r="R4" s="15"/>
      <c r="S4" s="15"/>
      <c r="T4" s="15"/>
      <c r="U4" s="15"/>
      <c r="V4" s="402"/>
      <c r="W4" s="287"/>
      <c r="Z4" s="404">
        <v>1</v>
      </c>
      <c r="AA4" s="404">
        <v>21</v>
      </c>
      <c r="AB4" s="404">
        <v>41</v>
      </c>
      <c r="AC4" s="405">
        <v>61</v>
      </c>
    </row>
    <row r="5" ht="15.75" spans="1:29">
      <c r="A5" s="21">
        <v>2</v>
      </c>
      <c r="B5" s="366" t="s">
        <v>19</v>
      </c>
      <c r="C5" s="367"/>
      <c r="D5" s="367"/>
      <c r="E5" s="367"/>
      <c r="F5" s="367"/>
      <c r="G5" s="367"/>
      <c r="H5" s="367"/>
      <c r="I5" s="367"/>
      <c r="J5" s="369">
        <v>9</v>
      </c>
      <c r="K5" s="369">
        <v>10</v>
      </c>
      <c r="L5" s="369">
        <v>23</v>
      </c>
      <c r="M5" s="369">
        <v>50</v>
      </c>
      <c r="N5" s="369">
        <v>58</v>
      </c>
      <c r="O5" s="369">
        <v>65</v>
      </c>
      <c r="P5" s="369">
        <v>71</v>
      </c>
      <c r="Q5" s="369"/>
      <c r="R5" s="15"/>
      <c r="S5" s="15"/>
      <c r="T5" s="15"/>
      <c r="U5" s="15"/>
      <c r="V5" s="402"/>
      <c r="W5" s="287"/>
      <c r="Z5" s="404">
        <v>2</v>
      </c>
      <c r="AA5" s="404">
        <v>22</v>
      </c>
      <c r="AB5" s="404">
        <v>42</v>
      </c>
      <c r="AC5" s="405">
        <v>62</v>
      </c>
    </row>
    <row r="6" ht="15.75" spans="1:29">
      <c r="A6" s="21">
        <v>3</v>
      </c>
      <c r="B6" s="366" t="s">
        <v>20</v>
      </c>
      <c r="C6" s="367"/>
      <c r="D6" s="367"/>
      <c r="E6" s="367"/>
      <c r="F6" s="367"/>
      <c r="G6" s="367"/>
      <c r="H6" s="367"/>
      <c r="I6" s="367"/>
      <c r="J6" s="369">
        <v>11</v>
      </c>
      <c r="K6" s="369">
        <v>11</v>
      </c>
      <c r="L6" s="369">
        <v>39</v>
      </c>
      <c r="M6" s="369">
        <v>39</v>
      </c>
      <c r="N6" s="369">
        <v>54</v>
      </c>
      <c r="O6" s="369">
        <v>54</v>
      </c>
      <c r="P6" s="380"/>
      <c r="Q6" s="380"/>
      <c r="R6" s="15"/>
      <c r="S6" s="15"/>
      <c r="T6" s="15"/>
      <c r="U6" s="15"/>
      <c r="V6" s="347"/>
      <c r="W6" s="289" t="s">
        <v>21</v>
      </c>
      <c r="Z6" s="404">
        <v>3</v>
      </c>
      <c r="AA6" s="404">
        <v>23</v>
      </c>
      <c r="AB6" s="404">
        <v>43</v>
      </c>
      <c r="AC6" s="405">
        <v>63</v>
      </c>
    </row>
    <row r="7" ht="15.75" spans="1:29">
      <c r="A7" s="21">
        <v>4</v>
      </c>
      <c r="B7" s="366" t="s">
        <v>22</v>
      </c>
      <c r="C7" s="367" t="s">
        <v>21</v>
      </c>
      <c r="D7" s="367"/>
      <c r="E7" s="367"/>
      <c r="F7" s="367"/>
      <c r="G7" s="367"/>
      <c r="H7" s="367"/>
      <c r="I7" s="367"/>
      <c r="J7" s="369">
        <v>7</v>
      </c>
      <c r="K7" s="369">
        <v>34</v>
      </c>
      <c r="L7" s="369">
        <v>40</v>
      </c>
      <c r="M7" s="369">
        <v>49</v>
      </c>
      <c r="N7" s="380" t="s">
        <v>23</v>
      </c>
      <c r="O7" s="380" t="s">
        <v>24</v>
      </c>
      <c r="P7" s="380"/>
      <c r="Q7" s="380"/>
      <c r="R7" s="15"/>
      <c r="S7" s="15"/>
      <c r="T7" s="15"/>
      <c r="U7" s="15"/>
      <c r="V7" s="307"/>
      <c r="W7" s="287"/>
      <c r="Z7" s="404">
        <v>4</v>
      </c>
      <c r="AA7" s="404">
        <v>24</v>
      </c>
      <c r="AB7" s="404">
        <v>44</v>
      </c>
      <c r="AC7" s="405">
        <v>64</v>
      </c>
    </row>
    <row r="8" ht="15.75" spans="1:29">
      <c r="A8" s="21">
        <v>5</v>
      </c>
      <c r="B8" s="366" t="s">
        <v>25</v>
      </c>
      <c r="C8" s="367"/>
      <c r="D8" s="367"/>
      <c r="E8" s="367"/>
      <c r="F8" s="367"/>
      <c r="G8" s="367"/>
      <c r="H8" s="367"/>
      <c r="I8" s="367"/>
      <c r="J8" s="369">
        <v>21</v>
      </c>
      <c r="K8" s="369">
        <v>21</v>
      </c>
      <c r="L8" s="369">
        <v>21</v>
      </c>
      <c r="M8" s="369">
        <v>48</v>
      </c>
      <c r="N8" s="369">
        <v>48</v>
      </c>
      <c r="O8" s="369">
        <v>48</v>
      </c>
      <c r="P8" s="380"/>
      <c r="Q8" s="380"/>
      <c r="R8" s="15"/>
      <c r="S8" s="15"/>
      <c r="T8" s="15"/>
      <c r="U8" s="15"/>
      <c r="V8" s="402"/>
      <c r="W8" s="287"/>
      <c r="Z8" s="404">
        <v>5</v>
      </c>
      <c r="AA8" s="404">
        <v>25</v>
      </c>
      <c r="AB8" s="404">
        <v>45</v>
      </c>
      <c r="AC8" s="405">
        <v>65</v>
      </c>
    </row>
    <row r="9" ht="15.75" spans="1:29">
      <c r="A9" s="21">
        <v>6</v>
      </c>
      <c r="B9" s="366" t="s">
        <v>26</v>
      </c>
      <c r="C9" s="368">
        <v>128</v>
      </c>
      <c r="D9" s="367"/>
      <c r="E9" s="367"/>
      <c r="F9" s="367"/>
      <c r="G9" s="367"/>
      <c r="H9" s="367"/>
      <c r="I9" s="367"/>
      <c r="J9" s="369">
        <v>14</v>
      </c>
      <c r="K9" s="369">
        <v>14</v>
      </c>
      <c r="L9" s="369">
        <v>14</v>
      </c>
      <c r="M9" s="369">
        <v>14</v>
      </c>
      <c r="N9" s="369">
        <v>14</v>
      </c>
      <c r="O9" s="369">
        <v>66</v>
      </c>
      <c r="P9" s="369">
        <v>67</v>
      </c>
      <c r="Q9" s="369">
        <v>67</v>
      </c>
      <c r="R9" s="369">
        <v>67</v>
      </c>
      <c r="S9" s="369">
        <v>67</v>
      </c>
      <c r="T9" s="369">
        <v>67</v>
      </c>
      <c r="U9" s="15"/>
      <c r="V9" s="403"/>
      <c r="W9" s="289" t="s">
        <v>21</v>
      </c>
      <c r="Z9" s="404">
        <v>6</v>
      </c>
      <c r="AA9" s="404">
        <v>26</v>
      </c>
      <c r="AB9" s="404">
        <v>46</v>
      </c>
      <c r="AC9" s="406">
        <v>66</v>
      </c>
    </row>
    <row r="10" ht="15.75" spans="1:29">
      <c r="A10" s="9">
        <v>7</v>
      </c>
      <c r="B10" s="366" t="s">
        <v>27</v>
      </c>
      <c r="C10" s="367"/>
      <c r="D10" s="367"/>
      <c r="E10" s="367"/>
      <c r="F10" s="367"/>
      <c r="G10" s="367"/>
      <c r="H10" s="367"/>
      <c r="I10" s="367"/>
      <c r="J10" s="369">
        <v>8</v>
      </c>
      <c r="K10" s="369">
        <v>8</v>
      </c>
      <c r="L10" s="369">
        <v>37</v>
      </c>
      <c r="M10" s="369">
        <v>37</v>
      </c>
      <c r="N10" s="369">
        <v>52</v>
      </c>
      <c r="O10" s="369">
        <v>52</v>
      </c>
      <c r="P10" s="369">
        <v>72</v>
      </c>
      <c r="Q10" s="369">
        <v>72</v>
      </c>
      <c r="R10" s="15"/>
      <c r="S10" s="15"/>
      <c r="T10" s="15"/>
      <c r="U10" s="15"/>
      <c r="V10" s="347"/>
      <c r="W10" s="289" t="s">
        <v>21</v>
      </c>
      <c r="Z10" s="404">
        <v>7</v>
      </c>
      <c r="AA10" s="404">
        <v>27</v>
      </c>
      <c r="AB10" s="404">
        <v>47</v>
      </c>
      <c r="AC10" s="406">
        <v>67</v>
      </c>
    </row>
    <row r="11" ht="15.75" spans="1:29">
      <c r="A11" s="9">
        <v>8</v>
      </c>
      <c r="B11" s="366" t="s">
        <v>28</v>
      </c>
      <c r="C11" s="369">
        <v>43</v>
      </c>
      <c r="D11" s="370"/>
      <c r="E11" s="370"/>
      <c r="F11" s="370"/>
      <c r="G11" s="370"/>
      <c r="H11" s="370"/>
      <c r="I11" s="370"/>
      <c r="J11" s="369">
        <v>43</v>
      </c>
      <c r="K11" s="369">
        <v>43</v>
      </c>
      <c r="L11" s="369">
        <v>43</v>
      </c>
      <c r="M11" s="369">
        <v>43</v>
      </c>
      <c r="N11" s="369">
        <v>43</v>
      </c>
      <c r="O11" s="380" t="s">
        <v>24</v>
      </c>
      <c r="P11" s="380"/>
      <c r="Q11" s="380"/>
      <c r="R11" s="15"/>
      <c r="S11" s="15"/>
      <c r="T11" s="15"/>
      <c r="U11" s="15"/>
      <c r="V11" s="347" t="s">
        <v>21</v>
      </c>
      <c r="W11" s="289"/>
      <c r="Z11" s="404">
        <v>8</v>
      </c>
      <c r="AA11" s="404">
        <v>28</v>
      </c>
      <c r="AB11" s="404">
        <v>48</v>
      </c>
      <c r="AC11" s="406">
        <v>68</v>
      </c>
    </row>
    <row r="12" ht="15.75" spans="1:29">
      <c r="A12" s="9">
        <v>9</v>
      </c>
      <c r="B12" s="366" t="s">
        <v>29</v>
      </c>
      <c r="C12" s="367" t="s">
        <v>21</v>
      </c>
      <c r="D12" s="367"/>
      <c r="E12" s="367"/>
      <c r="F12" s="367"/>
      <c r="G12" s="367"/>
      <c r="H12" s="367"/>
      <c r="I12" s="369">
        <v>16</v>
      </c>
      <c r="J12" s="369">
        <v>16</v>
      </c>
      <c r="K12" s="369">
        <v>16</v>
      </c>
      <c r="L12" s="369">
        <v>41</v>
      </c>
      <c r="M12" s="369">
        <v>53</v>
      </c>
      <c r="N12" s="369">
        <v>70</v>
      </c>
      <c r="O12" s="369">
        <v>70</v>
      </c>
      <c r="P12" s="380"/>
      <c r="Q12" s="380"/>
      <c r="R12" s="15"/>
      <c r="S12" s="15"/>
      <c r="T12" s="15"/>
      <c r="U12" s="15"/>
      <c r="V12" s="307">
        <v>350</v>
      </c>
      <c r="W12" s="289"/>
      <c r="Z12" s="404">
        <v>9</v>
      </c>
      <c r="AA12" s="404">
        <v>29</v>
      </c>
      <c r="AB12" s="404">
        <v>49</v>
      </c>
      <c r="AC12" s="406">
        <v>69</v>
      </c>
    </row>
    <row r="13" ht="15.75" spans="1:29">
      <c r="A13" s="9">
        <v>10</v>
      </c>
      <c r="B13" s="366" t="s">
        <v>30</v>
      </c>
      <c r="C13" s="367"/>
      <c r="D13" s="367"/>
      <c r="E13" s="367" t="s">
        <v>21</v>
      </c>
      <c r="F13" s="367" t="s">
        <v>21</v>
      </c>
      <c r="G13" s="367"/>
      <c r="H13" s="367"/>
      <c r="I13" s="367"/>
      <c r="J13" s="369">
        <v>17</v>
      </c>
      <c r="K13" s="369">
        <v>17</v>
      </c>
      <c r="L13" s="369">
        <v>32</v>
      </c>
      <c r="M13" s="369">
        <v>44</v>
      </c>
      <c r="N13" s="369">
        <v>56</v>
      </c>
      <c r="O13" s="369">
        <v>64</v>
      </c>
      <c r="P13" s="390">
        <v>69</v>
      </c>
      <c r="Q13" s="369"/>
      <c r="R13" s="15"/>
      <c r="S13" s="15"/>
      <c r="T13" s="15"/>
      <c r="U13" s="15"/>
      <c r="V13" s="402"/>
      <c r="W13" s="289"/>
      <c r="Z13" s="404">
        <v>10</v>
      </c>
      <c r="AA13" s="404">
        <v>30</v>
      </c>
      <c r="AB13" s="404">
        <v>50</v>
      </c>
      <c r="AC13" s="406">
        <v>70</v>
      </c>
    </row>
    <row r="14" ht="15.75" spans="1:29">
      <c r="A14" s="9">
        <v>11</v>
      </c>
      <c r="B14" s="366" t="s">
        <v>31</v>
      </c>
      <c r="C14" s="367"/>
      <c r="D14" s="367"/>
      <c r="E14" s="367"/>
      <c r="F14" s="367"/>
      <c r="G14" s="367"/>
      <c r="H14" s="367"/>
      <c r="I14" s="367"/>
      <c r="J14" s="369">
        <v>13</v>
      </c>
      <c r="K14" s="369">
        <v>13</v>
      </c>
      <c r="L14" s="369">
        <v>13</v>
      </c>
      <c r="M14" s="369">
        <v>13</v>
      </c>
      <c r="N14" s="369">
        <v>13</v>
      </c>
      <c r="O14" s="369">
        <v>13</v>
      </c>
      <c r="P14" s="369">
        <v>20</v>
      </c>
      <c r="Q14" s="369">
        <v>20</v>
      </c>
      <c r="R14" s="397">
        <v>20</v>
      </c>
      <c r="S14" s="397">
        <v>20</v>
      </c>
      <c r="T14" s="397">
        <v>20</v>
      </c>
      <c r="U14" s="397">
        <v>31</v>
      </c>
      <c r="V14" s="402"/>
      <c r="W14" s="289" t="s">
        <v>21</v>
      </c>
      <c r="Z14" s="404">
        <v>11</v>
      </c>
      <c r="AA14" s="404">
        <v>31</v>
      </c>
      <c r="AB14" s="404">
        <v>51</v>
      </c>
      <c r="AC14" s="406">
        <v>71</v>
      </c>
    </row>
    <row r="15" ht="15.75" spans="1:29">
      <c r="A15" s="9">
        <v>12</v>
      </c>
      <c r="B15" s="366" t="s">
        <v>32</v>
      </c>
      <c r="C15" s="367">
        <v>26</v>
      </c>
      <c r="D15" s="367"/>
      <c r="E15" s="367" t="s">
        <v>21</v>
      </c>
      <c r="F15" s="367" t="s">
        <v>21</v>
      </c>
      <c r="G15" s="367"/>
      <c r="H15" s="367"/>
      <c r="I15" s="369">
        <v>12</v>
      </c>
      <c r="J15" s="369">
        <v>2</v>
      </c>
      <c r="K15" s="369">
        <v>26</v>
      </c>
      <c r="L15" s="369">
        <v>36</v>
      </c>
      <c r="M15" s="369">
        <v>36</v>
      </c>
      <c r="N15" s="369">
        <v>57</v>
      </c>
      <c r="O15" s="369">
        <v>57</v>
      </c>
      <c r="P15" s="380"/>
      <c r="Q15" s="380"/>
      <c r="R15" s="15"/>
      <c r="S15" s="15"/>
      <c r="T15" s="15"/>
      <c r="U15" s="15"/>
      <c r="V15" s="402"/>
      <c r="W15" s="289" t="s">
        <v>21</v>
      </c>
      <c r="Z15" s="404">
        <v>12</v>
      </c>
      <c r="AA15" s="404">
        <v>32</v>
      </c>
      <c r="AB15" s="404">
        <v>52</v>
      </c>
      <c r="AC15" s="406">
        <v>72</v>
      </c>
    </row>
    <row r="16" ht="15.75" spans="1:29">
      <c r="A16" s="21">
        <v>13</v>
      </c>
      <c r="B16" s="366" t="s">
        <v>33</v>
      </c>
      <c r="C16" s="367"/>
      <c r="D16" s="367"/>
      <c r="E16" s="367"/>
      <c r="F16" s="367"/>
      <c r="G16" s="367"/>
      <c r="H16" s="367"/>
      <c r="I16" s="367"/>
      <c r="J16" s="369">
        <v>33</v>
      </c>
      <c r="K16" s="369">
        <v>33</v>
      </c>
      <c r="L16" s="369">
        <v>42</v>
      </c>
      <c r="M16" s="369">
        <v>51</v>
      </c>
      <c r="N16" s="369">
        <v>60</v>
      </c>
      <c r="O16" s="369">
        <v>68</v>
      </c>
      <c r="P16" s="373"/>
      <c r="Q16" s="380"/>
      <c r="R16" s="15"/>
      <c r="S16" s="15"/>
      <c r="T16" s="15"/>
      <c r="U16" s="15"/>
      <c r="V16" s="347" t="s">
        <v>21</v>
      </c>
      <c r="W16" s="287"/>
      <c r="Z16" s="404">
        <v>13</v>
      </c>
      <c r="AA16" s="404">
        <v>33</v>
      </c>
      <c r="AB16" s="404">
        <v>53</v>
      </c>
      <c r="AC16" s="406">
        <v>73</v>
      </c>
    </row>
    <row r="17" ht="15.75" spans="1:29">
      <c r="A17" s="21">
        <v>14</v>
      </c>
      <c r="B17" s="366" t="s">
        <v>34</v>
      </c>
      <c r="C17" s="367"/>
      <c r="D17" s="367"/>
      <c r="E17" s="367"/>
      <c r="F17" s="367"/>
      <c r="G17" s="367"/>
      <c r="H17" s="367"/>
      <c r="I17" s="367"/>
      <c r="J17" s="369">
        <v>19</v>
      </c>
      <c r="K17" s="369">
        <v>19</v>
      </c>
      <c r="L17" s="369">
        <v>19</v>
      </c>
      <c r="M17" s="369">
        <v>61</v>
      </c>
      <c r="N17" s="369">
        <v>61</v>
      </c>
      <c r="O17" s="369">
        <v>61</v>
      </c>
      <c r="P17" s="369">
        <v>62</v>
      </c>
      <c r="Q17" s="369">
        <v>62</v>
      </c>
      <c r="R17" s="369">
        <v>62</v>
      </c>
      <c r="S17" s="15"/>
      <c r="T17" s="15"/>
      <c r="U17" s="15"/>
      <c r="V17" s="307">
        <v>350</v>
      </c>
      <c r="W17" s="289" t="s">
        <v>21</v>
      </c>
      <c r="Z17" s="404">
        <v>14</v>
      </c>
      <c r="AA17" s="404">
        <v>34</v>
      </c>
      <c r="AB17" s="404">
        <v>54</v>
      </c>
      <c r="AC17" s="406">
        <v>74</v>
      </c>
    </row>
    <row r="18" ht="15.75" spans="1:29">
      <c r="A18" s="21">
        <v>15</v>
      </c>
      <c r="B18" s="366" t="s">
        <v>35</v>
      </c>
      <c r="C18" s="367"/>
      <c r="D18" s="367"/>
      <c r="E18" s="367"/>
      <c r="F18" s="367"/>
      <c r="G18" s="367"/>
      <c r="H18" s="367"/>
      <c r="I18" s="367"/>
      <c r="J18" s="369">
        <v>6</v>
      </c>
      <c r="K18" s="369">
        <v>22</v>
      </c>
      <c r="L18" s="369">
        <v>30</v>
      </c>
      <c r="M18" s="369">
        <v>45</v>
      </c>
      <c r="N18" s="369">
        <v>55</v>
      </c>
      <c r="O18" s="369">
        <v>63</v>
      </c>
      <c r="P18" s="380"/>
      <c r="Q18" s="380"/>
      <c r="R18" s="15"/>
      <c r="S18" s="15"/>
      <c r="T18" s="15"/>
      <c r="U18" s="15"/>
      <c r="V18" s="402"/>
      <c r="W18" s="287"/>
      <c r="Z18" s="404">
        <v>15</v>
      </c>
      <c r="AA18" s="404">
        <v>35</v>
      </c>
      <c r="AB18" s="404">
        <v>55</v>
      </c>
      <c r="AC18" s="406">
        <v>75</v>
      </c>
    </row>
    <row r="19" ht="15.75" spans="1:29">
      <c r="A19" s="21" t="s">
        <v>21</v>
      </c>
      <c r="B19" s="366" t="s">
        <v>36</v>
      </c>
      <c r="C19" s="367">
        <v>4</v>
      </c>
      <c r="D19" s="367">
        <v>4</v>
      </c>
      <c r="E19" s="367">
        <v>4</v>
      </c>
      <c r="F19" s="367">
        <v>4</v>
      </c>
      <c r="G19" s="367">
        <v>4</v>
      </c>
      <c r="H19" s="367"/>
      <c r="I19" s="367">
        <v>4</v>
      </c>
      <c r="J19" s="369">
        <v>5</v>
      </c>
      <c r="K19" s="369">
        <v>5</v>
      </c>
      <c r="L19" s="369">
        <v>46</v>
      </c>
      <c r="M19" s="391" t="s">
        <v>37</v>
      </c>
      <c r="N19" s="392"/>
      <c r="O19" s="392"/>
      <c r="P19" s="393"/>
      <c r="Q19" s="385"/>
      <c r="R19" s="398"/>
      <c r="S19" s="398"/>
      <c r="T19" s="398"/>
      <c r="U19" s="398"/>
      <c r="V19" s="347" t="s">
        <v>21</v>
      </c>
      <c r="W19" s="287"/>
      <c r="Z19" s="404">
        <v>16</v>
      </c>
      <c r="AA19" s="404">
        <v>36</v>
      </c>
      <c r="AB19" s="404">
        <v>56</v>
      </c>
      <c r="AC19" s="406">
        <v>76</v>
      </c>
    </row>
    <row r="20" ht="15.75" spans="1:29">
      <c r="A20" s="21" t="s">
        <v>21</v>
      </c>
      <c r="B20" s="366" t="s">
        <v>38</v>
      </c>
      <c r="C20" s="371">
        <v>128</v>
      </c>
      <c r="D20" s="367"/>
      <c r="E20" s="367"/>
      <c r="F20" s="367"/>
      <c r="G20" s="367"/>
      <c r="H20" s="367"/>
      <c r="I20" s="367">
        <v>18</v>
      </c>
      <c r="J20" s="369">
        <v>18</v>
      </c>
      <c r="K20" s="369">
        <v>25</v>
      </c>
      <c r="L20" s="385" t="s">
        <v>24</v>
      </c>
      <c r="M20" s="385" t="s">
        <v>24</v>
      </c>
      <c r="N20" s="394" t="s">
        <v>39</v>
      </c>
      <c r="O20" s="385"/>
      <c r="P20" s="385"/>
      <c r="Q20" s="385"/>
      <c r="R20" s="398"/>
      <c r="S20" s="398"/>
      <c r="T20" s="398"/>
      <c r="U20" s="398"/>
      <c r="V20" s="307">
        <v>700</v>
      </c>
      <c r="W20" s="287"/>
      <c r="Z20" s="404">
        <v>17</v>
      </c>
      <c r="AA20" s="404">
        <v>37</v>
      </c>
      <c r="AB20" s="404">
        <v>57</v>
      </c>
      <c r="AC20" s="406">
        <v>77</v>
      </c>
    </row>
    <row r="21" ht="15.75" spans="1:29">
      <c r="A21" s="21" t="s">
        <v>21</v>
      </c>
      <c r="B21" s="366" t="s">
        <v>40</v>
      </c>
      <c r="C21" s="367"/>
      <c r="D21" s="367"/>
      <c r="E21" s="367"/>
      <c r="F21" s="367"/>
      <c r="G21" s="367"/>
      <c r="H21" s="367">
        <v>35</v>
      </c>
      <c r="I21" s="367">
        <v>35</v>
      </c>
      <c r="J21" s="385" t="s">
        <v>23</v>
      </c>
      <c r="K21" s="385" t="s">
        <v>23</v>
      </c>
      <c r="L21" s="385" t="s">
        <v>24</v>
      </c>
      <c r="M21" s="395" t="s">
        <v>41</v>
      </c>
      <c r="N21" s="396"/>
      <c r="O21" s="396"/>
      <c r="P21" s="396"/>
      <c r="Q21" s="399"/>
      <c r="R21" s="398"/>
      <c r="S21" s="398"/>
      <c r="T21" s="398"/>
      <c r="U21" s="398"/>
      <c r="V21" s="347">
        <v>1050</v>
      </c>
      <c r="W21" s="287"/>
      <c r="Z21" s="404">
        <v>18</v>
      </c>
      <c r="AA21" s="404">
        <v>38</v>
      </c>
      <c r="AB21" s="404">
        <v>58</v>
      </c>
      <c r="AC21" s="406">
        <v>78</v>
      </c>
    </row>
    <row r="22" ht="15.75" spans="1:29">
      <c r="A22" s="21" t="s">
        <v>21</v>
      </c>
      <c r="B22" s="21"/>
      <c r="C22" s="372"/>
      <c r="D22" s="372"/>
      <c r="E22" s="380"/>
      <c r="F22" s="380"/>
      <c r="G22" s="380"/>
      <c r="H22" s="380"/>
      <c r="I22" s="380"/>
      <c r="J22" s="380"/>
      <c r="K22" s="386" t="s">
        <v>42</v>
      </c>
      <c r="L22" s="387"/>
      <c r="M22" s="387"/>
      <c r="N22" s="387"/>
      <c r="O22" s="387"/>
      <c r="P22" s="387"/>
      <c r="Q22" s="387"/>
      <c r="R22" s="387"/>
      <c r="S22" s="387"/>
      <c r="T22" s="400"/>
      <c r="U22" s="15"/>
      <c r="V22" s="287"/>
      <c r="W22" s="21"/>
      <c r="Z22" s="404">
        <v>19</v>
      </c>
      <c r="AA22" s="404">
        <v>39</v>
      </c>
      <c r="AB22" s="404">
        <v>59</v>
      </c>
      <c r="AC22" s="406">
        <v>79</v>
      </c>
    </row>
    <row r="23" ht="15.75" spans="1:29">
      <c r="A23" s="21"/>
      <c r="B23" s="21"/>
      <c r="C23" s="373" t="s">
        <v>21</v>
      </c>
      <c r="D23" s="374" t="s">
        <v>43</v>
      </c>
      <c r="E23" s="381"/>
      <c r="F23" s="381"/>
      <c r="G23" s="381"/>
      <c r="H23" s="381"/>
      <c r="I23" s="388"/>
      <c r="J23" s="380"/>
      <c r="K23" s="386" t="s">
        <v>21</v>
      </c>
      <c r="L23" s="387"/>
      <c r="M23" s="387"/>
      <c r="N23" s="387"/>
      <c r="O23" s="387"/>
      <c r="P23" s="387"/>
      <c r="Q23" s="387"/>
      <c r="R23" s="387"/>
      <c r="S23" s="387"/>
      <c r="T23" s="400"/>
      <c r="U23" s="15"/>
      <c r="V23" s="287"/>
      <c r="W23" s="21"/>
      <c r="Z23" s="404">
        <v>20</v>
      </c>
      <c r="AA23" s="404">
        <v>40</v>
      </c>
      <c r="AB23" s="404">
        <v>60</v>
      </c>
      <c r="AC23" s="406">
        <v>80</v>
      </c>
    </row>
    <row r="26" spans="2:17">
      <c r="B26" s="201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</row>
    <row r="27" spans="1:17">
      <c r="A27" s="139"/>
      <c r="B27" s="139"/>
      <c r="C27" s="139"/>
      <c r="D27" s="375"/>
      <c r="E27" s="382"/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</row>
    <row r="28" spans="1:17">
      <c r="A28" s="139"/>
      <c r="B28" s="191"/>
      <c r="C28" s="191"/>
      <c r="D28" s="376"/>
      <c r="E28" s="178"/>
      <c r="F28" s="178"/>
      <c r="G28" s="178"/>
      <c r="H28" s="178"/>
      <c r="I28" s="178"/>
      <c r="J28" s="178"/>
      <c r="K28" s="178"/>
      <c r="L28" s="178"/>
      <c r="M28" s="178"/>
      <c r="N28" s="178"/>
      <c r="O28" s="178"/>
      <c r="P28" s="178"/>
      <c r="Q28" s="178"/>
    </row>
    <row r="29" spans="1:17">
      <c r="A29" s="191"/>
      <c r="B29" s="191"/>
      <c r="C29" s="191"/>
      <c r="D29" s="376"/>
      <c r="E29" s="178"/>
      <c r="F29" s="178"/>
      <c r="G29" s="178"/>
      <c r="H29" s="178"/>
      <c r="I29" s="178"/>
      <c r="J29" s="178"/>
      <c r="K29" s="178"/>
      <c r="L29" s="178"/>
      <c r="M29" s="178"/>
      <c r="N29" s="178"/>
      <c r="O29" s="178"/>
      <c r="P29" s="178"/>
      <c r="Q29" s="178"/>
    </row>
    <row r="30" spans="1:17">
      <c r="A30" s="191"/>
      <c r="B30" s="191"/>
      <c r="C30" s="191"/>
      <c r="D30" s="376"/>
      <c r="E30" s="178"/>
      <c r="F30" s="178"/>
      <c r="G30" s="178"/>
      <c r="H30" s="178"/>
      <c r="I30" s="178"/>
      <c r="J30" s="178"/>
      <c r="K30" s="178"/>
      <c r="L30" s="178"/>
      <c r="M30" s="178"/>
      <c r="N30" s="178"/>
      <c r="O30" s="178"/>
      <c r="P30" s="178"/>
      <c r="Q30" s="178"/>
    </row>
    <row r="31" spans="1:17">
      <c r="A31" s="191"/>
      <c r="B31" s="191"/>
      <c r="C31" s="191"/>
      <c r="D31" s="376"/>
      <c r="E31" s="178"/>
      <c r="F31" s="178"/>
      <c r="G31" s="178"/>
      <c r="H31" s="178"/>
      <c r="I31" s="178"/>
      <c r="J31" s="178"/>
      <c r="K31" s="178"/>
      <c r="L31" s="178"/>
      <c r="M31" s="178"/>
      <c r="N31" s="178"/>
      <c r="O31" s="178"/>
      <c r="P31" s="178"/>
      <c r="Q31" s="178"/>
    </row>
    <row r="32" spans="1:17">
      <c r="A32" s="139"/>
      <c r="B32" s="191"/>
      <c r="C32" s="191"/>
      <c r="D32" s="376"/>
      <c r="E32" s="178"/>
      <c r="F32" s="178"/>
      <c r="G32" s="178"/>
      <c r="H32" s="178"/>
      <c r="I32" s="178"/>
      <c r="J32" s="178"/>
      <c r="K32" s="178"/>
      <c r="L32" s="178"/>
      <c r="M32" s="178"/>
      <c r="N32" s="178"/>
      <c r="O32" s="178"/>
      <c r="P32" s="178"/>
      <c r="Q32" s="178"/>
    </row>
    <row r="33" spans="1:17">
      <c r="A33" s="139"/>
      <c r="B33" s="191"/>
      <c r="C33" s="191"/>
      <c r="D33" s="376"/>
      <c r="E33" s="178"/>
      <c r="F33" s="178"/>
      <c r="G33" s="178"/>
      <c r="H33" s="178"/>
      <c r="I33" s="178"/>
      <c r="J33" s="178"/>
      <c r="K33" s="178"/>
      <c r="L33" s="178"/>
      <c r="M33" s="178"/>
      <c r="N33" s="178"/>
      <c r="O33" s="178"/>
      <c r="P33" s="178"/>
      <c r="Q33" s="178"/>
    </row>
    <row r="34" spans="1:17">
      <c r="A34" s="139"/>
      <c r="B34" s="377"/>
      <c r="C34" s="377"/>
      <c r="D34" s="378"/>
      <c r="E34" s="383"/>
      <c r="F34" s="383"/>
      <c r="G34" s="384"/>
      <c r="H34" s="384"/>
      <c r="I34" s="384"/>
      <c r="J34" s="178"/>
      <c r="K34" s="178"/>
      <c r="L34" s="178"/>
      <c r="M34" s="178"/>
      <c r="N34" s="178"/>
      <c r="O34" s="178"/>
      <c r="P34" s="178"/>
      <c r="Q34" s="178"/>
    </row>
    <row r="35" spans="1:17">
      <c r="A35" s="139"/>
      <c r="B35" s="191"/>
      <c r="C35" s="191"/>
      <c r="D35" s="376"/>
      <c r="E35" s="178"/>
      <c r="F35" s="178"/>
      <c r="G35" s="178"/>
      <c r="H35" s="178"/>
      <c r="I35" s="178"/>
      <c r="J35" s="178"/>
      <c r="K35" s="178"/>
      <c r="L35" s="178"/>
      <c r="M35" s="178"/>
      <c r="N35" s="178"/>
      <c r="O35" s="178"/>
      <c r="P35" s="178"/>
      <c r="Q35" s="178"/>
    </row>
    <row r="36" spans="1:17">
      <c r="A36" s="139"/>
      <c r="B36" s="379"/>
      <c r="C36" s="379"/>
      <c r="D36" s="376"/>
      <c r="E36" s="170"/>
      <c r="F36" s="170"/>
      <c r="G36" s="170"/>
      <c r="H36" s="170"/>
      <c r="I36" s="170"/>
      <c r="J36" s="170"/>
      <c r="K36" s="170"/>
      <c r="L36" s="170"/>
      <c r="M36" s="170"/>
      <c r="N36" s="170"/>
      <c r="O36" s="170"/>
      <c r="P36" s="201"/>
      <c r="Q36" s="201"/>
    </row>
  </sheetData>
  <mergeCells count="12">
    <mergeCell ref="E1:U1"/>
    <mergeCell ref="B2:Q2"/>
    <mergeCell ref="M19:P19"/>
    <mergeCell ref="M21:Q21"/>
    <mergeCell ref="K22:T22"/>
    <mergeCell ref="D23:I23"/>
    <mergeCell ref="K23:T23"/>
    <mergeCell ref="B26:Q26"/>
    <mergeCell ref="G34:I34"/>
    <mergeCell ref="E36:I36"/>
    <mergeCell ref="J36:N36"/>
    <mergeCell ref="P36:Q36"/>
  </mergeCells>
  <pageMargins left="0.708333333333333" right="0.708333333333333" top="0.747916666666667" bottom="0.747916666666667" header="0.314583333333333" footer="0.314583333333333"/>
  <pageSetup paperSize="1" scale="70" orientation="landscape" horizontalDpi="600" vertic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370"/>
  <sheetViews>
    <sheetView tabSelected="1" zoomScale="110" zoomScaleNormal="110" topLeftCell="A333" workbookViewId="0">
      <selection activeCell="D347" sqref="D347"/>
    </sheetView>
  </sheetViews>
  <sheetFormatPr defaultColWidth="10.954128440367" defaultRowHeight="13.35"/>
  <cols>
    <col min="1" max="1" width="8.28440366972477" customWidth="1"/>
    <col min="3" max="3" width="11.4220183486239" customWidth="1"/>
    <col min="4" max="4" width="3.70642201834862" customWidth="1"/>
    <col min="5" max="5" width="10.1376146788991" customWidth="1"/>
    <col min="6" max="6" width="10.8532110091743" customWidth="1"/>
    <col min="7" max="8" width="9.56880733944954" customWidth="1"/>
    <col min="9" max="9" width="10.5688073394495" customWidth="1"/>
    <col min="10" max="10" width="11" customWidth="1"/>
    <col min="11" max="11" width="10.1376146788991" customWidth="1"/>
    <col min="12" max="12" width="18.8532110091743" customWidth="1"/>
  </cols>
  <sheetData>
    <row r="1" ht="57" customHeight="1" spans="3:12">
      <c r="C1" s="240"/>
      <c r="D1" s="165" t="s">
        <v>44</v>
      </c>
      <c r="E1" s="33"/>
      <c r="F1" s="33"/>
      <c r="G1" s="33"/>
      <c r="H1" s="33"/>
      <c r="I1" s="33"/>
      <c r="J1" s="33"/>
      <c r="K1" s="292"/>
      <c r="L1" s="292"/>
    </row>
    <row r="2" spans="7:10">
      <c r="G2" s="198"/>
      <c r="H2" s="198"/>
      <c r="I2" s="198"/>
      <c r="J2" s="198"/>
    </row>
    <row r="3" ht="13.9" spans="2:11">
      <c r="B3" s="241" t="s">
        <v>45</v>
      </c>
      <c r="C3" s="241"/>
      <c r="D3" s="241"/>
      <c r="E3" s="241"/>
      <c r="F3" s="241"/>
      <c r="G3" s="241"/>
      <c r="H3" s="241"/>
      <c r="I3" s="241"/>
      <c r="J3" s="241"/>
      <c r="K3" s="241"/>
    </row>
    <row r="4" ht="14.45" spans="2:10">
      <c r="B4" s="242" t="s">
        <v>46</v>
      </c>
      <c r="C4" s="243">
        <v>300</v>
      </c>
      <c r="D4" s="242"/>
      <c r="E4" s="271" t="s">
        <v>47</v>
      </c>
      <c r="F4" s="242"/>
      <c r="G4" s="272">
        <v>50</v>
      </c>
      <c r="H4" s="272"/>
      <c r="I4" s="198" t="s">
        <v>48</v>
      </c>
      <c r="J4" s="198">
        <v>18</v>
      </c>
    </row>
    <row r="5" ht="14.45" spans="2:10">
      <c r="B5" s="242"/>
      <c r="C5" s="243"/>
      <c r="D5" s="242"/>
      <c r="E5" s="271"/>
      <c r="F5" s="242"/>
      <c r="G5" s="272"/>
      <c r="H5" s="272"/>
      <c r="I5" s="198"/>
      <c r="J5" s="198"/>
    </row>
    <row r="6" ht="13.9" spans="5:11">
      <c r="E6" s="254" t="s">
        <v>49</v>
      </c>
      <c r="F6" s="254"/>
      <c r="G6" s="254"/>
      <c r="H6" s="254"/>
      <c r="I6" s="254"/>
      <c r="J6" s="293" t="s">
        <v>50</v>
      </c>
      <c r="K6" s="293"/>
    </row>
    <row r="7" spans="1:12">
      <c r="A7" s="244" t="s">
        <v>51</v>
      </c>
      <c r="B7" s="245" t="s">
        <v>52</v>
      </c>
      <c r="C7" s="245"/>
      <c r="D7" s="245"/>
      <c r="E7" s="273" t="s">
        <v>53</v>
      </c>
      <c r="F7" s="274" t="s">
        <v>54</v>
      </c>
      <c r="G7" s="275" t="s">
        <v>55</v>
      </c>
      <c r="H7" s="275" t="s">
        <v>56</v>
      </c>
      <c r="I7" s="294" t="s">
        <v>57</v>
      </c>
      <c r="J7" s="273" t="s">
        <v>58</v>
      </c>
      <c r="K7" s="273" t="s">
        <v>59</v>
      </c>
      <c r="L7" s="273" t="s">
        <v>60</v>
      </c>
    </row>
    <row r="8" spans="1:12">
      <c r="A8" s="246" t="s">
        <v>61</v>
      </c>
      <c r="B8" s="247" t="s">
        <v>62</v>
      </c>
      <c r="C8" s="248"/>
      <c r="D8" s="249"/>
      <c r="E8" s="276">
        <v>0</v>
      </c>
      <c r="F8" s="276">
        <v>0</v>
      </c>
      <c r="G8" s="277">
        <v>372</v>
      </c>
      <c r="H8" s="277">
        <v>0</v>
      </c>
      <c r="I8" s="277">
        <v>0</v>
      </c>
      <c r="J8" s="295">
        <f>SUM(E8+F8+G8+H8+I8)</f>
        <v>372</v>
      </c>
      <c r="K8" s="296">
        <v>46035</v>
      </c>
      <c r="L8" s="297" t="s">
        <v>63</v>
      </c>
    </row>
    <row r="9" spans="1:12">
      <c r="A9" s="246"/>
      <c r="B9" s="247" t="s">
        <v>62</v>
      </c>
      <c r="C9" s="248"/>
      <c r="D9" s="249"/>
      <c r="E9" s="276"/>
      <c r="F9" s="276"/>
      <c r="G9" s="277">
        <v>147</v>
      </c>
      <c r="H9" s="277"/>
      <c r="I9" s="277"/>
      <c r="J9" s="295">
        <f t="shared" ref="J9:J18" si="0">SUM(E9+F9+G9+H9+I9)</f>
        <v>147</v>
      </c>
      <c r="K9" s="296">
        <v>46042</v>
      </c>
      <c r="L9" s="297"/>
    </row>
    <row r="10" spans="1:12">
      <c r="A10" s="246"/>
      <c r="B10" s="247" t="s">
        <v>62</v>
      </c>
      <c r="C10" s="248"/>
      <c r="D10" s="249"/>
      <c r="E10" s="276"/>
      <c r="F10" s="276"/>
      <c r="G10" s="276">
        <v>190</v>
      </c>
      <c r="H10" s="276"/>
      <c r="I10" s="277">
        <v>0</v>
      </c>
      <c r="J10" s="295">
        <f t="shared" si="0"/>
        <v>190</v>
      </c>
      <c r="K10" s="296">
        <v>46049</v>
      </c>
      <c r="L10" s="297"/>
    </row>
    <row r="11" spans="1:12">
      <c r="A11" s="246" t="s">
        <v>64</v>
      </c>
      <c r="B11" s="247" t="s">
        <v>17</v>
      </c>
      <c r="C11" s="248"/>
      <c r="D11" s="249"/>
      <c r="E11" s="276">
        <v>285</v>
      </c>
      <c r="F11" s="276">
        <v>50</v>
      </c>
      <c r="G11" s="276"/>
      <c r="H11" s="276">
        <v>15</v>
      </c>
      <c r="I11" s="277"/>
      <c r="J11" s="295">
        <f t="shared" si="0"/>
        <v>350</v>
      </c>
      <c r="K11" s="296"/>
      <c r="L11" s="297"/>
    </row>
    <row r="12" spans="1:12">
      <c r="A12" s="246" t="s">
        <v>65</v>
      </c>
      <c r="B12" s="247" t="s">
        <v>32</v>
      </c>
      <c r="C12" s="248"/>
      <c r="D12" s="249"/>
      <c r="E12" s="276">
        <v>285</v>
      </c>
      <c r="F12" s="276">
        <v>50</v>
      </c>
      <c r="G12" s="276"/>
      <c r="H12" s="276">
        <v>15</v>
      </c>
      <c r="I12" s="277"/>
      <c r="J12" s="295">
        <f t="shared" si="0"/>
        <v>350</v>
      </c>
      <c r="K12" s="296"/>
      <c r="L12" s="297"/>
    </row>
    <row r="13" spans="1:12">
      <c r="A13" s="246" t="s">
        <v>66</v>
      </c>
      <c r="B13" s="247" t="s">
        <v>22</v>
      </c>
      <c r="C13" s="248"/>
      <c r="D13" s="249"/>
      <c r="E13" s="276">
        <v>5000</v>
      </c>
      <c r="F13" s="276"/>
      <c r="G13" s="276"/>
      <c r="H13" s="276"/>
      <c r="I13" s="277">
        <v>0</v>
      </c>
      <c r="J13" s="295">
        <f t="shared" si="0"/>
        <v>5000</v>
      </c>
      <c r="K13" s="296">
        <v>46049</v>
      </c>
      <c r="L13" s="298" t="s">
        <v>67</v>
      </c>
    </row>
    <row r="14" ht="15.75" customHeight="1" spans="1:12">
      <c r="A14" s="246" t="s">
        <v>68</v>
      </c>
      <c r="B14" s="247" t="s">
        <v>69</v>
      </c>
      <c r="C14" s="248"/>
      <c r="D14" s="249"/>
      <c r="E14" s="276">
        <v>1050</v>
      </c>
      <c r="F14" s="276">
        <v>250</v>
      </c>
      <c r="G14" s="276"/>
      <c r="H14" s="276"/>
      <c r="I14" s="277">
        <v>128</v>
      </c>
      <c r="J14" s="295">
        <f t="shared" si="0"/>
        <v>1428</v>
      </c>
      <c r="K14" s="296">
        <v>46052</v>
      </c>
      <c r="L14" s="298" t="s">
        <v>70</v>
      </c>
    </row>
    <row r="15" spans="1:12">
      <c r="A15" s="246" t="s">
        <v>71</v>
      </c>
      <c r="B15" s="247" t="s">
        <v>69</v>
      </c>
      <c r="C15" s="248"/>
      <c r="D15" s="249"/>
      <c r="E15" s="276">
        <v>570</v>
      </c>
      <c r="F15" s="276">
        <v>100</v>
      </c>
      <c r="G15" s="276"/>
      <c r="H15" s="276">
        <v>30</v>
      </c>
      <c r="I15" s="277">
        <v>0</v>
      </c>
      <c r="J15" s="295">
        <f t="shared" si="0"/>
        <v>700</v>
      </c>
      <c r="K15" s="296">
        <v>46052</v>
      </c>
      <c r="L15" s="297" t="s">
        <v>72</v>
      </c>
    </row>
    <row r="16" spans="1:12">
      <c r="A16" s="246" t="s">
        <v>73</v>
      </c>
      <c r="B16" s="247" t="s">
        <v>74</v>
      </c>
      <c r="C16" s="248"/>
      <c r="D16" s="249"/>
      <c r="E16" s="276">
        <v>285</v>
      </c>
      <c r="F16" s="276">
        <v>50</v>
      </c>
      <c r="G16" s="276"/>
      <c r="H16" s="276">
        <v>15</v>
      </c>
      <c r="I16" s="277"/>
      <c r="J16" s="295">
        <f t="shared" si="0"/>
        <v>350</v>
      </c>
      <c r="K16" s="296">
        <v>46052</v>
      </c>
      <c r="L16" s="299" t="s">
        <v>21</v>
      </c>
    </row>
    <row r="17" spans="1:12">
      <c r="A17" s="246"/>
      <c r="B17" s="247"/>
      <c r="C17" s="248"/>
      <c r="D17" s="249"/>
      <c r="E17" s="276"/>
      <c r="F17" s="276"/>
      <c r="G17" s="276"/>
      <c r="H17" s="276"/>
      <c r="I17" s="277"/>
      <c r="J17" s="295">
        <f t="shared" si="0"/>
        <v>0</v>
      </c>
      <c r="K17" s="296"/>
      <c r="L17" s="297"/>
    </row>
    <row r="18" spans="1:12">
      <c r="A18" s="246"/>
      <c r="B18" s="250"/>
      <c r="C18" s="250"/>
      <c r="D18" s="250"/>
      <c r="E18" s="278">
        <f t="shared" ref="E18:I18" si="1">SUM(E8:E17)</f>
        <v>7475</v>
      </c>
      <c r="F18" s="278">
        <f t="shared" si="1"/>
        <v>500</v>
      </c>
      <c r="G18" s="278">
        <f t="shared" si="1"/>
        <v>709</v>
      </c>
      <c r="H18" s="278">
        <f t="shared" si="1"/>
        <v>75</v>
      </c>
      <c r="I18" s="278">
        <f t="shared" si="1"/>
        <v>128</v>
      </c>
      <c r="J18" s="295">
        <f t="shared" si="0"/>
        <v>8887</v>
      </c>
      <c r="K18" s="300"/>
      <c r="L18" s="297"/>
    </row>
    <row r="19" spans="1:10">
      <c r="A19" s="251"/>
      <c r="B19" s="252"/>
      <c r="C19" s="252"/>
      <c r="D19" s="252"/>
      <c r="E19" s="279"/>
      <c r="F19" s="279"/>
      <c r="G19" s="280"/>
      <c r="H19" s="280"/>
      <c r="I19" s="280"/>
      <c r="J19" s="301"/>
    </row>
    <row r="20" spans="1:10">
      <c r="A20" s="253"/>
      <c r="B20" s="252"/>
      <c r="C20" s="252"/>
      <c r="D20" s="252"/>
      <c r="E20" s="280"/>
      <c r="F20" s="280"/>
      <c r="G20" s="281"/>
      <c r="H20" s="281"/>
      <c r="I20" s="281"/>
      <c r="J20" s="268"/>
    </row>
    <row r="21" ht="13.9" spans="3:9">
      <c r="C21" s="254" t="s">
        <v>75</v>
      </c>
      <c r="D21" s="254"/>
      <c r="E21" s="254"/>
      <c r="F21" s="254"/>
      <c r="G21" s="254"/>
      <c r="H21" s="254"/>
      <c r="I21" s="254"/>
    </row>
    <row r="22" spans="1:12">
      <c r="A22" s="255" t="s">
        <v>76</v>
      </c>
      <c r="B22" s="256" t="s">
        <v>77</v>
      </c>
      <c r="C22" s="257"/>
      <c r="D22" s="257"/>
      <c r="E22" s="15" t="s">
        <v>78</v>
      </c>
      <c r="F22" s="15"/>
      <c r="G22" s="15"/>
      <c r="H22" s="15"/>
      <c r="I22" s="15"/>
      <c r="J22" s="15"/>
      <c r="K22" s="255" t="s">
        <v>59</v>
      </c>
      <c r="L22" s="302" t="s">
        <v>79</v>
      </c>
    </row>
    <row r="23" spans="1:12">
      <c r="A23" s="258"/>
      <c r="B23" s="259"/>
      <c r="C23" s="260"/>
      <c r="D23" s="260"/>
      <c r="E23" s="15" t="s">
        <v>53</v>
      </c>
      <c r="F23" s="15" t="s">
        <v>80</v>
      </c>
      <c r="G23" s="282" t="s">
        <v>81</v>
      </c>
      <c r="H23" s="23" t="s">
        <v>56</v>
      </c>
      <c r="I23" s="282" t="s">
        <v>82</v>
      </c>
      <c r="J23" s="174" t="s">
        <v>58</v>
      </c>
      <c r="K23" s="258"/>
      <c r="L23" s="303"/>
    </row>
    <row r="24" spans="1:12">
      <c r="A24" s="261">
        <v>1</v>
      </c>
      <c r="B24" s="262" t="s">
        <v>83</v>
      </c>
      <c r="C24" s="263"/>
      <c r="D24" s="263"/>
      <c r="E24" s="283">
        <v>5584</v>
      </c>
      <c r="F24" s="283"/>
      <c r="G24" s="283"/>
      <c r="H24" s="284"/>
      <c r="I24" s="304"/>
      <c r="J24" s="300"/>
      <c r="K24" s="305">
        <v>46056</v>
      </c>
      <c r="L24" s="306" t="s">
        <v>21</v>
      </c>
    </row>
    <row r="25" spans="1:12">
      <c r="A25" s="261">
        <v>2</v>
      </c>
      <c r="B25" s="264" t="s">
        <v>84</v>
      </c>
      <c r="C25" s="265"/>
      <c r="D25" s="265"/>
      <c r="E25" s="283">
        <v>90</v>
      </c>
      <c r="F25" s="283"/>
      <c r="G25" s="283"/>
      <c r="H25" s="284"/>
      <c r="I25" s="304"/>
      <c r="J25" s="300"/>
      <c r="K25" s="300"/>
      <c r="L25" s="21" t="s">
        <v>21</v>
      </c>
    </row>
    <row r="26" spans="1:12">
      <c r="A26" s="261"/>
      <c r="B26" s="266"/>
      <c r="C26" s="267"/>
      <c r="D26" s="267"/>
      <c r="E26" s="285" t="s">
        <v>21</v>
      </c>
      <c r="F26" s="285"/>
      <c r="G26" s="285"/>
      <c r="H26" s="286"/>
      <c r="I26" s="288"/>
      <c r="J26" s="21"/>
      <c r="K26" s="21"/>
      <c r="L26" s="21"/>
    </row>
    <row r="27" spans="1:12">
      <c r="A27" s="261"/>
      <c r="B27" s="266"/>
      <c r="C27" s="267"/>
      <c r="D27" s="267"/>
      <c r="E27" s="285" t="s">
        <v>21</v>
      </c>
      <c r="F27" s="285"/>
      <c r="G27" s="285"/>
      <c r="H27" s="286"/>
      <c r="I27" s="288"/>
      <c r="J27" s="21"/>
      <c r="K27" s="21"/>
      <c r="L27" s="21"/>
    </row>
    <row r="28" spans="1:12">
      <c r="A28" s="261"/>
      <c r="B28" s="266"/>
      <c r="C28" s="267"/>
      <c r="D28" s="267"/>
      <c r="E28" s="285" t="s">
        <v>21</v>
      </c>
      <c r="F28" s="285"/>
      <c r="G28" s="287"/>
      <c r="H28" s="288"/>
      <c r="I28" s="288"/>
      <c r="J28" s="21"/>
      <c r="K28" s="21"/>
      <c r="L28" s="21"/>
    </row>
    <row r="29" spans="1:12">
      <c r="A29" s="21"/>
      <c r="B29" s="266"/>
      <c r="C29" s="267"/>
      <c r="D29" s="267"/>
      <c r="E29" s="289">
        <f t="shared" ref="E29:I29" si="2">SUM(E24:E28)</f>
        <v>5674</v>
      </c>
      <c r="F29" s="289">
        <f t="shared" si="2"/>
        <v>0</v>
      </c>
      <c r="G29" s="289">
        <f t="shared" si="2"/>
        <v>0</v>
      </c>
      <c r="H29" s="289">
        <f t="shared" si="2"/>
        <v>0</v>
      </c>
      <c r="I29" s="289">
        <f t="shared" si="2"/>
        <v>0</v>
      </c>
      <c r="J29" s="289">
        <f>E29+F29+G29+H29+I29</f>
        <v>5674</v>
      </c>
      <c r="K29" s="21"/>
      <c r="L29" s="21"/>
    </row>
    <row r="30" spans="1:10">
      <c r="A30" s="268"/>
      <c r="B30" s="252"/>
      <c r="C30" s="252"/>
      <c r="D30" s="252"/>
      <c r="E30" s="290"/>
      <c r="F30" s="290"/>
      <c r="G30" s="290"/>
      <c r="H30" s="290"/>
      <c r="I30" s="290"/>
      <c r="J30" s="268"/>
    </row>
    <row r="31" spans="1:10">
      <c r="A31" s="268"/>
      <c r="B31" s="252"/>
      <c r="C31" s="252"/>
      <c r="D31" s="252"/>
      <c r="E31" s="290"/>
      <c r="F31" s="290"/>
      <c r="G31" s="290"/>
      <c r="H31" s="185" t="s">
        <v>85</v>
      </c>
      <c r="I31" s="185"/>
      <c r="J31" s="307">
        <f>J18-J29</f>
        <v>3213</v>
      </c>
    </row>
    <row r="32" spans="1:10">
      <c r="A32" s="268"/>
      <c r="B32" s="252"/>
      <c r="C32" s="252"/>
      <c r="D32" s="252"/>
      <c r="E32" s="290"/>
      <c r="F32" s="290"/>
      <c r="G32" s="290"/>
      <c r="H32" s="290"/>
      <c r="I32" s="290"/>
      <c r="J32" s="268"/>
    </row>
    <row r="33" spans="1:10">
      <c r="A33" s="268"/>
      <c r="B33" s="252"/>
      <c r="C33" s="252"/>
      <c r="D33" s="252"/>
      <c r="E33" s="290"/>
      <c r="F33" s="290"/>
      <c r="G33" s="290"/>
      <c r="H33" s="290"/>
      <c r="I33" s="290"/>
      <c r="J33" s="268"/>
    </row>
    <row r="34" spans="1:11">
      <c r="A34" s="268"/>
      <c r="B34" s="198" t="s">
        <v>86</v>
      </c>
      <c r="C34" s="198"/>
      <c r="D34" s="199"/>
      <c r="E34" s="198" t="s">
        <v>87</v>
      </c>
      <c r="F34" s="198"/>
      <c r="G34" s="198"/>
      <c r="H34" s="198"/>
      <c r="I34" s="199"/>
      <c r="J34" s="198" t="s">
        <v>88</v>
      </c>
      <c r="K34" s="198"/>
    </row>
    <row r="35" spans="1:9">
      <c r="A35" s="268"/>
      <c r="C35" s="200"/>
      <c r="D35" s="200"/>
      <c r="E35" s="200"/>
      <c r="F35" s="200"/>
      <c r="G35" s="200"/>
      <c r="H35" s="200"/>
      <c r="I35" s="200"/>
    </row>
    <row r="36" spans="1:12">
      <c r="A36" s="268"/>
      <c r="B36" s="269" t="s">
        <v>17</v>
      </c>
      <c r="C36" s="269"/>
      <c r="D36" s="269"/>
      <c r="E36" s="291" t="s">
        <v>22</v>
      </c>
      <c r="F36" s="291"/>
      <c r="G36" s="291"/>
      <c r="H36" s="291"/>
      <c r="J36" s="308" t="s">
        <v>19</v>
      </c>
      <c r="K36" s="308"/>
      <c r="L36" s="308"/>
    </row>
    <row r="37" spans="1:11">
      <c r="A37" s="268"/>
      <c r="B37" s="198" t="s">
        <v>89</v>
      </c>
      <c r="C37" s="198"/>
      <c r="D37" s="199"/>
      <c r="E37" s="198" t="s">
        <v>90</v>
      </c>
      <c r="F37" s="198"/>
      <c r="G37" s="198"/>
      <c r="H37" s="198"/>
      <c r="J37" s="198" t="s">
        <v>91</v>
      </c>
      <c r="K37" s="198"/>
    </row>
    <row r="38" spans="1:10">
      <c r="A38" s="268"/>
      <c r="B38" s="252"/>
      <c r="C38" s="252"/>
      <c r="D38" s="252"/>
      <c r="E38" s="290"/>
      <c r="F38" s="290"/>
      <c r="G38" s="290"/>
      <c r="H38" s="290"/>
      <c r="I38" s="290"/>
      <c r="J38" s="268"/>
    </row>
    <row r="39" spans="1:10">
      <c r="A39" s="268"/>
      <c r="B39" s="252"/>
      <c r="C39" s="252"/>
      <c r="D39" s="252"/>
      <c r="E39" s="290"/>
      <c r="F39" s="290"/>
      <c r="G39" s="290"/>
      <c r="H39" s="290"/>
      <c r="I39" s="290"/>
      <c r="J39" s="268"/>
    </row>
    <row r="40" spans="1:10">
      <c r="A40" s="268"/>
      <c r="B40" s="252"/>
      <c r="C40" s="252"/>
      <c r="D40" s="252"/>
      <c r="E40" s="290"/>
      <c r="F40" s="290"/>
      <c r="G40" s="290"/>
      <c r="H40" s="290"/>
      <c r="I40" s="290"/>
      <c r="J40" s="268"/>
    </row>
    <row r="41" spans="1:10">
      <c r="A41" s="268"/>
      <c r="B41" s="252"/>
      <c r="C41" s="252"/>
      <c r="D41" s="252"/>
      <c r="E41" s="290"/>
      <c r="F41" s="290"/>
      <c r="G41" s="290"/>
      <c r="H41" s="290"/>
      <c r="I41" s="290"/>
      <c r="J41" s="268"/>
    </row>
    <row r="42" spans="1:10">
      <c r="A42" s="268"/>
      <c r="B42" s="252"/>
      <c r="C42" s="252"/>
      <c r="D42" s="252"/>
      <c r="E42" s="290"/>
      <c r="F42" s="290"/>
      <c r="G42" s="290"/>
      <c r="H42" s="290"/>
      <c r="I42" s="290"/>
      <c r="J42" s="268"/>
    </row>
    <row r="43" spans="1:10">
      <c r="A43" s="268"/>
      <c r="B43" s="252"/>
      <c r="C43" s="252"/>
      <c r="D43" s="252"/>
      <c r="E43" s="290"/>
      <c r="F43" s="290"/>
      <c r="G43" s="290"/>
      <c r="H43" s="290"/>
      <c r="I43" s="290"/>
      <c r="J43" s="268"/>
    </row>
    <row r="44" spans="1:10">
      <c r="A44" s="268"/>
      <c r="B44" s="252"/>
      <c r="C44" s="252"/>
      <c r="D44" s="252"/>
      <c r="E44" s="290"/>
      <c r="F44" s="290"/>
      <c r="G44" s="290"/>
      <c r="H44" s="290"/>
      <c r="I44" s="290"/>
      <c r="J44" s="268"/>
    </row>
    <row r="45" spans="1:10">
      <c r="A45" s="268"/>
      <c r="B45" s="252"/>
      <c r="C45" s="252"/>
      <c r="D45" s="252"/>
      <c r="E45" s="290"/>
      <c r="F45" s="290"/>
      <c r="G45" s="290"/>
      <c r="H45" s="290"/>
      <c r="I45" s="290"/>
      <c r="J45" s="268"/>
    </row>
    <row r="46" spans="1:10">
      <c r="A46" s="268"/>
      <c r="B46" s="252"/>
      <c r="C46" s="252"/>
      <c r="D46" s="252"/>
      <c r="E46" s="290"/>
      <c r="F46" s="290"/>
      <c r="G46" s="290"/>
      <c r="H46" s="290"/>
      <c r="I46" s="290"/>
      <c r="J46" s="268"/>
    </row>
    <row r="47" spans="1:10">
      <c r="A47" s="268"/>
      <c r="B47" s="252"/>
      <c r="C47" s="252"/>
      <c r="D47" s="252"/>
      <c r="E47" s="290"/>
      <c r="F47" s="290"/>
      <c r="G47" s="290"/>
      <c r="H47" s="290"/>
      <c r="I47" s="290"/>
      <c r="J47" s="268"/>
    </row>
    <row r="48" spans="1:10">
      <c r="A48" s="268"/>
      <c r="B48" s="252"/>
      <c r="C48" s="252"/>
      <c r="D48" s="252"/>
      <c r="E48" s="290"/>
      <c r="F48" s="290"/>
      <c r="G48" s="290"/>
      <c r="H48" s="290"/>
      <c r="I48" s="290"/>
      <c r="J48" s="268"/>
    </row>
    <row r="49" spans="1:10">
      <c r="A49" s="268"/>
      <c r="B49" s="252"/>
      <c r="C49" s="252"/>
      <c r="D49" s="252"/>
      <c r="E49" s="290"/>
      <c r="F49" s="290"/>
      <c r="G49" s="290"/>
      <c r="H49" s="290"/>
      <c r="I49" s="290"/>
      <c r="J49" s="268"/>
    </row>
    <row r="50" spans="1:10">
      <c r="A50" s="268"/>
      <c r="B50" s="252"/>
      <c r="C50" s="252"/>
      <c r="D50" s="252"/>
      <c r="E50" s="290"/>
      <c r="F50" s="290"/>
      <c r="G50" s="290"/>
      <c r="H50" s="290"/>
      <c r="I50" s="290"/>
      <c r="J50" s="268"/>
    </row>
    <row r="51" spans="1:10">
      <c r="A51" s="268"/>
      <c r="B51" s="252"/>
      <c r="C51" s="252"/>
      <c r="D51" s="252"/>
      <c r="E51" s="290"/>
      <c r="F51" s="290"/>
      <c r="G51" s="290"/>
      <c r="H51" s="290"/>
      <c r="I51" s="290"/>
      <c r="J51" s="268"/>
    </row>
    <row r="52" spans="1:10">
      <c r="A52" s="268"/>
      <c r="B52" s="252"/>
      <c r="C52" s="252"/>
      <c r="D52" s="252"/>
      <c r="E52" s="290"/>
      <c r="F52" s="290"/>
      <c r="G52" s="290"/>
      <c r="H52" s="290"/>
      <c r="I52" s="290"/>
      <c r="J52" s="268"/>
    </row>
    <row r="53" spans="1:10">
      <c r="A53" s="268"/>
      <c r="B53" s="252"/>
      <c r="C53" s="252"/>
      <c r="D53" s="252"/>
      <c r="E53" s="290"/>
      <c r="F53" s="290"/>
      <c r="G53" s="290"/>
      <c r="H53" s="290"/>
      <c r="I53" s="290"/>
      <c r="J53" s="268"/>
    </row>
    <row r="54" spans="1:10">
      <c r="A54" s="268"/>
      <c r="B54" s="252"/>
      <c r="C54" s="252"/>
      <c r="D54" s="252"/>
      <c r="E54" s="290"/>
      <c r="F54" s="290"/>
      <c r="G54" s="290"/>
      <c r="H54" s="290"/>
      <c r="I54" s="290"/>
      <c r="J54" s="268"/>
    </row>
    <row r="55" spans="1:10">
      <c r="A55" s="268"/>
      <c r="B55" s="252"/>
      <c r="C55" s="252"/>
      <c r="D55" s="252"/>
      <c r="E55" s="290"/>
      <c r="F55" s="290"/>
      <c r="G55" s="290"/>
      <c r="H55" s="290"/>
      <c r="I55" s="290"/>
      <c r="J55" s="268"/>
    </row>
    <row r="56" spans="1:10">
      <c r="A56" s="268"/>
      <c r="B56" s="252"/>
      <c r="C56" s="252"/>
      <c r="D56" s="252"/>
      <c r="E56" s="290"/>
      <c r="F56" s="290"/>
      <c r="G56" s="290"/>
      <c r="H56" s="290"/>
      <c r="I56" s="290"/>
      <c r="J56" s="268"/>
    </row>
    <row r="57" spans="1:10">
      <c r="A57" s="268"/>
      <c r="B57" s="252"/>
      <c r="C57" s="252"/>
      <c r="D57" s="252"/>
      <c r="E57" s="290"/>
      <c r="F57" s="290"/>
      <c r="G57" s="290"/>
      <c r="H57" s="290"/>
      <c r="I57" s="290"/>
      <c r="J57" s="268"/>
    </row>
    <row r="58" spans="1:10">
      <c r="A58" s="268"/>
      <c r="B58" s="252"/>
      <c r="C58" s="252"/>
      <c r="D58" s="252"/>
      <c r="E58" s="290"/>
      <c r="F58" s="290"/>
      <c r="G58" s="290"/>
      <c r="H58" s="290"/>
      <c r="I58" s="290"/>
      <c r="J58" s="268"/>
    </row>
    <row r="59" spans="1:10">
      <c r="A59" s="268"/>
      <c r="B59" s="252"/>
      <c r="C59" s="252"/>
      <c r="D59" s="252"/>
      <c r="E59" s="290"/>
      <c r="F59" s="290"/>
      <c r="G59" s="290"/>
      <c r="H59" s="290"/>
      <c r="I59" s="290"/>
      <c r="J59" s="268"/>
    </row>
    <row r="60" spans="1:10">
      <c r="A60" s="268"/>
      <c r="B60" s="252"/>
      <c r="C60" s="252"/>
      <c r="D60" s="252"/>
      <c r="E60" s="290"/>
      <c r="F60" s="290"/>
      <c r="G60" s="290"/>
      <c r="H60" s="290"/>
      <c r="I60" s="290"/>
      <c r="J60" s="268"/>
    </row>
    <row r="61" spans="1:10">
      <c r="A61" s="268"/>
      <c r="B61" s="252"/>
      <c r="C61" s="252"/>
      <c r="D61" s="252"/>
      <c r="E61" s="290"/>
      <c r="F61" s="290"/>
      <c r="G61" s="290"/>
      <c r="H61" s="290"/>
      <c r="I61" s="290"/>
      <c r="J61" s="268"/>
    </row>
    <row r="63" spans="1:12">
      <c r="A63" s="270"/>
      <c r="B63" s="270"/>
      <c r="C63" s="270"/>
      <c r="D63" s="270"/>
      <c r="E63" s="270"/>
      <c r="F63" s="270"/>
      <c r="G63" s="270"/>
      <c r="H63" s="270"/>
      <c r="I63" s="270"/>
      <c r="J63" s="270"/>
      <c r="K63" s="270"/>
      <c r="L63" s="270"/>
    </row>
    <row r="66" spans="3:12">
      <c r="C66" s="240"/>
      <c r="D66" s="165" t="s">
        <v>44</v>
      </c>
      <c r="E66" s="33"/>
      <c r="F66" s="33"/>
      <c r="G66" s="33"/>
      <c r="H66" s="33"/>
      <c r="I66" s="33"/>
      <c r="J66" s="33"/>
      <c r="K66" s="292"/>
      <c r="L66" s="292"/>
    </row>
    <row r="67" spans="7:10">
      <c r="G67" s="198"/>
      <c r="H67" s="198"/>
      <c r="I67" s="198"/>
      <c r="J67" s="198"/>
    </row>
    <row r="68" ht="13.9" spans="2:11">
      <c r="B68" s="241" t="s">
        <v>92</v>
      </c>
      <c r="C68" s="241"/>
      <c r="D68" s="241"/>
      <c r="E68" s="241"/>
      <c r="F68" s="241"/>
      <c r="G68" s="241"/>
      <c r="H68" s="241"/>
      <c r="I68" s="241"/>
      <c r="J68" s="241"/>
      <c r="K68" s="241"/>
    </row>
    <row r="69" ht="14.45" spans="2:10">
      <c r="B69" s="242" t="s">
        <v>46</v>
      </c>
      <c r="C69" s="243">
        <v>300</v>
      </c>
      <c r="D69" s="242"/>
      <c r="E69" s="271" t="s">
        <v>47</v>
      </c>
      <c r="F69" s="242"/>
      <c r="G69" s="272">
        <v>50</v>
      </c>
      <c r="H69" s="272"/>
      <c r="I69" s="198" t="s">
        <v>48</v>
      </c>
      <c r="J69" s="198">
        <v>18</v>
      </c>
    </row>
    <row r="70" ht="14.45" spans="2:10">
      <c r="B70" s="242"/>
      <c r="C70" s="243"/>
      <c r="D70" s="242"/>
      <c r="E70" s="271"/>
      <c r="F70" s="242"/>
      <c r="G70" s="272"/>
      <c r="H70" s="272"/>
      <c r="I70" s="198"/>
      <c r="J70" s="198"/>
    </row>
    <row r="71" ht="13.9" spans="5:11">
      <c r="E71" s="254" t="s">
        <v>49</v>
      </c>
      <c r="F71" s="254"/>
      <c r="G71" s="254"/>
      <c r="H71" s="254"/>
      <c r="I71" s="254"/>
      <c r="J71" s="293"/>
      <c r="K71" s="293"/>
    </row>
    <row r="72" spans="1:12">
      <c r="A72" s="309" t="s">
        <v>51</v>
      </c>
      <c r="B72" s="186" t="s">
        <v>52</v>
      </c>
      <c r="C72" s="186"/>
      <c r="D72" s="186"/>
      <c r="E72" s="174" t="s">
        <v>53</v>
      </c>
      <c r="F72" s="317" t="s">
        <v>54</v>
      </c>
      <c r="G72" s="318" t="s">
        <v>55</v>
      </c>
      <c r="H72" s="318" t="s">
        <v>56</v>
      </c>
      <c r="I72" s="320" t="s">
        <v>57</v>
      </c>
      <c r="J72" s="174" t="s">
        <v>58</v>
      </c>
      <c r="K72" s="174" t="s">
        <v>59</v>
      </c>
      <c r="L72" s="174" t="s">
        <v>60</v>
      </c>
    </row>
    <row r="73" spans="1:12">
      <c r="A73" s="310" t="s">
        <v>61</v>
      </c>
      <c r="B73" s="311" t="s">
        <v>62</v>
      </c>
      <c r="C73" s="312"/>
      <c r="D73" s="313"/>
      <c r="E73" s="319">
        <v>0</v>
      </c>
      <c r="F73" s="319">
        <v>0</v>
      </c>
      <c r="G73" s="319">
        <v>190</v>
      </c>
      <c r="H73" s="319">
        <v>0</v>
      </c>
      <c r="I73" s="319">
        <v>0</v>
      </c>
      <c r="J73" s="307">
        <f>SUM(E73+F73+G73+H73+I73)</f>
        <v>190</v>
      </c>
      <c r="K73" s="321">
        <v>46056</v>
      </c>
      <c r="L73" s="322" t="s">
        <v>21</v>
      </c>
    </row>
    <row r="74" spans="1:12">
      <c r="A74" s="310" t="s">
        <v>93</v>
      </c>
      <c r="B74" s="311" t="s">
        <v>94</v>
      </c>
      <c r="C74" s="312"/>
      <c r="D74" s="313"/>
      <c r="E74" s="319">
        <v>285</v>
      </c>
      <c r="F74" s="319">
        <v>50</v>
      </c>
      <c r="G74" s="319">
        <v>0</v>
      </c>
      <c r="H74" s="319">
        <v>15</v>
      </c>
      <c r="I74" s="319">
        <v>0</v>
      </c>
      <c r="J74" s="307">
        <f>SUM(E74+F74+G74+H74+I74)</f>
        <v>350</v>
      </c>
      <c r="K74" s="321">
        <v>46056</v>
      </c>
      <c r="L74" s="322" t="s">
        <v>95</v>
      </c>
    </row>
    <row r="75" spans="1:12">
      <c r="A75" s="310" t="s">
        <v>96</v>
      </c>
      <c r="B75" s="311" t="s">
        <v>97</v>
      </c>
      <c r="C75" s="312"/>
      <c r="D75" s="313"/>
      <c r="E75" s="319">
        <v>570</v>
      </c>
      <c r="F75" s="319">
        <v>100</v>
      </c>
      <c r="G75" s="319"/>
      <c r="H75" s="319">
        <v>30</v>
      </c>
      <c r="I75" s="319"/>
      <c r="J75" s="307">
        <f t="shared" ref="J75:J89" si="3">SUM(E75+F75+G75+H75+I75)</f>
        <v>700</v>
      </c>
      <c r="K75" s="321">
        <v>46056</v>
      </c>
      <c r="L75" s="322" t="s">
        <v>98</v>
      </c>
    </row>
    <row r="76" spans="1:12">
      <c r="A76" s="310" t="s">
        <v>99</v>
      </c>
      <c r="B76" s="311" t="s">
        <v>100</v>
      </c>
      <c r="C76" s="312"/>
      <c r="D76" s="313"/>
      <c r="E76" s="319">
        <v>285</v>
      </c>
      <c r="F76" s="319">
        <v>50</v>
      </c>
      <c r="G76" s="319"/>
      <c r="H76" s="319">
        <v>15</v>
      </c>
      <c r="I76" s="319"/>
      <c r="J76" s="307">
        <f t="shared" si="3"/>
        <v>350</v>
      </c>
      <c r="K76" s="321">
        <v>46056</v>
      </c>
      <c r="L76" s="322" t="s">
        <v>95</v>
      </c>
    </row>
    <row r="77" spans="1:12">
      <c r="A77" s="310" t="s">
        <v>101</v>
      </c>
      <c r="B77" s="311" t="s">
        <v>100</v>
      </c>
      <c r="C77" s="312"/>
      <c r="D77" s="313"/>
      <c r="E77" s="319">
        <v>285</v>
      </c>
      <c r="F77" s="319">
        <v>50</v>
      </c>
      <c r="G77" s="319"/>
      <c r="H77" s="319">
        <v>15</v>
      </c>
      <c r="I77" s="319"/>
      <c r="J77" s="307">
        <f t="shared" si="3"/>
        <v>350</v>
      </c>
      <c r="K77" s="321">
        <v>46063</v>
      </c>
      <c r="L77" s="323" t="s">
        <v>102</v>
      </c>
    </row>
    <row r="78" spans="1:12">
      <c r="A78" s="310" t="s">
        <v>103</v>
      </c>
      <c r="B78" s="311" t="s">
        <v>104</v>
      </c>
      <c r="C78" s="312"/>
      <c r="D78" s="313"/>
      <c r="E78" s="319">
        <v>570</v>
      </c>
      <c r="F78" s="319">
        <v>100</v>
      </c>
      <c r="G78" s="319"/>
      <c r="H78" s="319">
        <v>30</v>
      </c>
      <c r="I78" s="319"/>
      <c r="J78" s="307">
        <f t="shared" si="3"/>
        <v>700</v>
      </c>
      <c r="K78" s="321">
        <v>46063</v>
      </c>
      <c r="L78" s="322" t="s">
        <v>98</v>
      </c>
    </row>
    <row r="79" spans="1:12">
      <c r="A79" s="310" t="s">
        <v>105</v>
      </c>
      <c r="B79" s="311" t="s">
        <v>106</v>
      </c>
      <c r="C79" s="312"/>
      <c r="D79" s="313"/>
      <c r="E79" s="319">
        <v>250</v>
      </c>
      <c r="F79" s="319">
        <v>50</v>
      </c>
      <c r="G79" s="319"/>
      <c r="H79" s="319">
        <v>0</v>
      </c>
      <c r="I79" s="319"/>
      <c r="J79" s="307">
        <f t="shared" si="3"/>
        <v>300</v>
      </c>
      <c r="K79" s="321">
        <v>46063</v>
      </c>
      <c r="L79" s="322" t="s">
        <v>107</v>
      </c>
    </row>
    <row r="80" spans="1:12">
      <c r="A80" s="310" t="s">
        <v>61</v>
      </c>
      <c r="B80" s="311" t="s">
        <v>62</v>
      </c>
      <c r="C80" s="312"/>
      <c r="D80" s="313"/>
      <c r="E80" s="319"/>
      <c r="F80" s="319"/>
      <c r="G80" s="319">
        <v>250</v>
      </c>
      <c r="H80" s="319"/>
      <c r="I80" s="319"/>
      <c r="J80" s="307">
        <f t="shared" si="3"/>
        <v>250</v>
      </c>
      <c r="K80" s="321">
        <v>46063</v>
      </c>
      <c r="L80" s="322"/>
    </row>
    <row r="81" spans="1:12">
      <c r="A81" s="310" t="s">
        <v>108</v>
      </c>
      <c r="B81" s="311" t="s">
        <v>109</v>
      </c>
      <c r="C81" s="312"/>
      <c r="D81" s="313"/>
      <c r="E81" s="319">
        <v>1710</v>
      </c>
      <c r="F81" s="319">
        <v>300</v>
      </c>
      <c r="G81" s="319"/>
      <c r="H81" s="319">
        <v>90</v>
      </c>
      <c r="I81" s="319"/>
      <c r="J81" s="307">
        <f t="shared" si="3"/>
        <v>2100</v>
      </c>
      <c r="K81" s="321">
        <v>46063</v>
      </c>
      <c r="L81" s="322" t="s">
        <v>110</v>
      </c>
    </row>
    <row r="82" spans="1:12">
      <c r="A82" s="310" t="s">
        <v>111</v>
      </c>
      <c r="B82" s="311" t="s">
        <v>112</v>
      </c>
      <c r="C82" s="312"/>
      <c r="D82" s="313"/>
      <c r="E82" s="319">
        <v>1425</v>
      </c>
      <c r="F82" s="319">
        <v>250</v>
      </c>
      <c r="G82" s="319"/>
      <c r="H82" s="319">
        <v>75</v>
      </c>
      <c r="I82" s="319"/>
      <c r="J82" s="307">
        <f t="shared" si="3"/>
        <v>1750</v>
      </c>
      <c r="K82" s="321">
        <v>46058</v>
      </c>
      <c r="L82" s="322" t="s">
        <v>113</v>
      </c>
    </row>
    <row r="83" spans="1:16">
      <c r="A83" s="310" t="s">
        <v>114</v>
      </c>
      <c r="B83" s="311" t="s">
        <v>115</v>
      </c>
      <c r="C83" s="312"/>
      <c r="D83" s="313"/>
      <c r="E83" s="319">
        <v>285</v>
      </c>
      <c r="F83" s="319">
        <v>50</v>
      </c>
      <c r="G83" s="319"/>
      <c r="H83" s="319">
        <v>15</v>
      </c>
      <c r="I83" s="319"/>
      <c r="J83" s="307">
        <f t="shared" si="3"/>
        <v>350</v>
      </c>
      <c r="K83" s="321">
        <v>46073</v>
      </c>
      <c r="L83" s="322" t="s">
        <v>102</v>
      </c>
      <c r="N83" s="15" t="s">
        <v>116</v>
      </c>
      <c r="O83" s="21">
        <v>350</v>
      </c>
      <c r="P83" s="173">
        <v>400</v>
      </c>
    </row>
    <row r="84" spans="1:16">
      <c r="A84" s="310" t="s">
        <v>117</v>
      </c>
      <c r="B84" s="311" t="s">
        <v>118</v>
      </c>
      <c r="C84" s="312"/>
      <c r="D84" s="313"/>
      <c r="E84" s="319">
        <v>820</v>
      </c>
      <c r="F84" s="319">
        <v>150</v>
      </c>
      <c r="G84" s="319"/>
      <c r="H84" s="319">
        <v>30</v>
      </c>
      <c r="I84" s="319"/>
      <c r="J84" s="307">
        <f t="shared" si="3"/>
        <v>1000</v>
      </c>
      <c r="K84" s="321">
        <v>46076</v>
      </c>
      <c r="L84" s="324" t="s">
        <v>119</v>
      </c>
      <c r="N84" s="21">
        <v>1</v>
      </c>
      <c r="O84" s="21">
        <v>285</v>
      </c>
      <c r="P84" s="287">
        <v>335</v>
      </c>
    </row>
    <row r="85" spans="1:16">
      <c r="A85" s="310" t="s">
        <v>120</v>
      </c>
      <c r="B85" s="311" t="s">
        <v>121</v>
      </c>
      <c r="C85" s="312"/>
      <c r="D85" s="313"/>
      <c r="E85" s="319">
        <v>570</v>
      </c>
      <c r="F85" s="319">
        <v>100</v>
      </c>
      <c r="G85" s="319"/>
      <c r="H85" s="319">
        <v>30</v>
      </c>
      <c r="I85" s="319"/>
      <c r="J85" s="307">
        <f t="shared" si="3"/>
        <v>700</v>
      </c>
      <c r="K85" s="321">
        <v>46076</v>
      </c>
      <c r="L85" s="322" t="s">
        <v>122</v>
      </c>
      <c r="N85" s="21">
        <v>2</v>
      </c>
      <c r="O85" s="21">
        <f>285*2</f>
        <v>570</v>
      </c>
      <c r="P85" s="287">
        <f>2*P84</f>
        <v>670</v>
      </c>
    </row>
    <row r="86" spans="1:16">
      <c r="A86" s="310" t="s">
        <v>123</v>
      </c>
      <c r="B86" s="311" t="s">
        <v>124</v>
      </c>
      <c r="C86" s="312"/>
      <c r="D86" s="313"/>
      <c r="E86" s="319">
        <v>535</v>
      </c>
      <c r="F86" s="319">
        <v>100</v>
      </c>
      <c r="G86" s="319"/>
      <c r="H86" s="319">
        <v>15</v>
      </c>
      <c r="I86" s="319"/>
      <c r="J86" s="307">
        <f t="shared" si="3"/>
        <v>650</v>
      </c>
      <c r="K86" s="321">
        <v>46077</v>
      </c>
      <c r="L86" s="322" t="s">
        <v>125</v>
      </c>
      <c r="N86" s="21">
        <v>3</v>
      </c>
      <c r="O86" s="21">
        <f>285*3</f>
        <v>855</v>
      </c>
      <c r="P86" s="287">
        <f>3*P84</f>
        <v>1005</v>
      </c>
    </row>
    <row r="87" spans="1:16">
      <c r="A87" s="310" t="s">
        <v>126</v>
      </c>
      <c r="B87" s="311" t="s">
        <v>127</v>
      </c>
      <c r="C87" s="312"/>
      <c r="D87" s="313"/>
      <c r="E87" s="319">
        <v>1675</v>
      </c>
      <c r="F87" s="319">
        <v>250</v>
      </c>
      <c r="G87" s="319"/>
      <c r="H87" s="319">
        <v>75</v>
      </c>
      <c r="I87" s="319"/>
      <c r="J87" s="307">
        <f t="shared" si="3"/>
        <v>2000</v>
      </c>
      <c r="K87" s="321">
        <v>46079</v>
      </c>
      <c r="L87" s="324" t="s">
        <v>128</v>
      </c>
      <c r="N87" s="21">
        <v>4</v>
      </c>
      <c r="O87" s="21">
        <f>285*4</f>
        <v>1140</v>
      </c>
      <c r="P87" s="287">
        <f>4*P84</f>
        <v>1340</v>
      </c>
    </row>
    <row r="88" spans="1:16">
      <c r="A88" s="310" t="s">
        <v>129</v>
      </c>
      <c r="B88" s="311" t="s">
        <v>130</v>
      </c>
      <c r="C88" s="312"/>
      <c r="D88" s="313"/>
      <c r="E88" s="319">
        <v>285</v>
      </c>
      <c r="F88" s="319">
        <v>50</v>
      </c>
      <c r="G88" s="319">
        <v>0</v>
      </c>
      <c r="H88" s="319">
        <v>15</v>
      </c>
      <c r="I88" s="319">
        <v>0</v>
      </c>
      <c r="J88" s="307">
        <f t="shared" si="3"/>
        <v>350</v>
      </c>
      <c r="K88" s="321" t="s">
        <v>131</v>
      </c>
      <c r="L88" s="324" t="s">
        <v>132</v>
      </c>
      <c r="N88" s="21">
        <v>5</v>
      </c>
      <c r="O88" s="21">
        <f>285*5</f>
        <v>1425</v>
      </c>
      <c r="P88" s="328">
        <f>5*P84</f>
        <v>1675</v>
      </c>
    </row>
    <row r="89" spans="1:16">
      <c r="A89" s="310"/>
      <c r="B89" s="314"/>
      <c r="C89" s="314"/>
      <c r="D89" s="314"/>
      <c r="E89" s="185">
        <f t="shared" ref="E89:I89" si="4">SUM(E73:E88)</f>
        <v>9550</v>
      </c>
      <c r="F89" s="185">
        <f t="shared" si="4"/>
        <v>1650</v>
      </c>
      <c r="G89" s="185">
        <f t="shared" si="4"/>
        <v>440</v>
      </c>
      <c r="H89" s="185">
        <f t="shared" si="4"/>
        <v>450</v>
      </c>
      <c r="I89" s="185">
        <f t="shared" si="4"/>
        <v>0</v>
      </c>
      <c r="J89" s="307">
        <f t="shared" si="3"/>
        <v>12090</v>
      </c>
      <c r="K89" s="21"/>
      <c r="L89" s="322"/>
      <c r="N89" s="21">
        <v>6</v>
      </c>
      <c r="O89" s="21">
        <f>285*6</f>
        <v>1710</v>
      </c>
      <c r="P89" s="328">
        <f>6*P84</f>
        <v>2010</v>
      </c>
    </row>
    <row r="90" spans="1:14">
      <c r="A90" s="251"/>
      <c r="B90" s="252"/>
      <c r="C90" s="252"/>
      <c r="D90" s="252"/>
      <c r="E90" s="279"/>
      <c r="F90" s="279"/>
      <c r="G90" s="280"/>
      <c r="H90" s="280"/>
      <c r="I90" s="280"/>
      <c r="J90" s="301"/>
      <c r="N90" t="s">
        <v>21</v>
      </c>
    </row>
    <row r="91" spans="1:10">
      <c r="A91" s="253"/>
      <c r="B91" s="252"/>
      <c r="C91" s="252"/>
      <c r="D91" s="252"/>
      <c r="E91" s="280"/>
      <c r="F91" s="280"/>
      <c r="G91" s="281"/>
      <c r="H91" s="281"/>
      <c r="I91" s="281"/>
      <c r="J91" s="268"/>
    </row>
    <row r="92" ht="13.9" spans="3:9">
      <c r="C92" s="254" t="s">
        <v>75</v>
      </c>
      <c r="D92" s="254"/>
      <c r="E92" s="254"/>
      <c r="F92" s="254"/>
      <c r="G92" s="254"/>
      <c r="H92" s="254"/>
      <c r="I92" s="254"/>
    </row>
    <row r="93" spans="1:12">
      <c r="A93" s="255" t="s">
        <v>76</v>
      </c>
      <c r="B93" s="256" t="s">
        <v>77</v>
      </c>
      <c r="C93" s="257"/>
      <c r="D93" s="257"/>
      <c r="E93" s="15" t="s">
        <v>78</v>
      </c>
      <c r="F93" s="15"/>
      <c r="G93" s="15"/>
      <c r="H93" s="15"/>
      <c r="I93" s="15"/>
      <c r="J93" s="15"/>
      <c r="K93" s="255" t="s">
        <v>59</v>
      </c>
      <c r="L93" s="302" t="s">
        <v>79</v>
      </c>
    </row>
    <row r="94" spans="1:12">
      <c r="A94" s="258"/>
      <c r="B94" s="259"/>
      <c r="C94" s="260"/>
      <c r="D94" s="260"/>
      <c r="E94" s="15" t="s">
        <v>53</v>
      </c>
      <c r="F94" s="15" t="s">
        <v>80</v>
      </c>
      <c r="G94" s="282" t="s">
        <v>81</v>
      </c>
      <c r="H94" s="23" t="s">
        <v>56</v>
      </c>
      <c r="I94" s="282" t="s">
        <v>82</v>
      </c>
      <c r="J94" s="174" t="s">
        <v>58</v>
      </c>
      <c r="K94" s="258"/>
      <c r="L94" s="303"/>
    </row>
    <row r="95" spans="1:12">
      <c r="A95" s="261">
        <v>1</v>
      </c>
      <c r="B95" s="315" t="s">
        <v>133</v>
      </c>
      <c r="C95" s="316"/>
      <c r="D95" s="316"/>
      <c r="E95" s="285">
        <v>160</v>
      </c>
      <c r="F95" s="285"/>
      <c r="G95" s="285"/>
      <c r="H95" s="286"/>
      <c r="I95" s="288"/>
      <c r="J95" s="287">
        <f>E95+F95+G95+H95+I95</f>
        <v>160</v>
      </c>
      <c r="K95" s="325" t="s">
        <v>21</v>
      </c>
      <c r="L95" s="326" t="s">
        <v>21</v>
      </c>
    </row>
    <row r="96" spans="1:12">
      <c r="A96" s="261">
        <v>2</v>
      </c>
      <c r="B96" s="315" t="s">
        <v>134</v>
      </c>
      <c r="C96" s="316"/>
      <c r="D96" s="316"/>
      <c r="E96" s="285">
        <v>4584</v>
      </c>
      <c r="F96" s="285"/>
      <c r="G96" s="285"/>
      <c r="H96" s="286"/>
      <c r="I96" s="288"/>
      <c r="J96" s="21"/>
      <c r="K96" s="21"/>
      <c r="L96" s="327" t="s">
        <v>21</v>
      </c>
    </row>
    <row r="97" spans="1:12">
      <c r="A97" s="261">
        <v>3</v>
      </c>
      <c r="B97" s="315" t="s">
        <v>135</v>
      </c>
      <c r="C97" s="316"/>
      <c r="D97" s="316"/>
      <c r="E97" s="285">
        <v>100</v>
      </c>
      <c r="F97" s="285"/>
      <c r="G97" s="285"/>
      <c r="H97" s="286"/>
      <c r="I97" s="288"/>
      <c r="J97" s="21"/>
      <c r="K97" s="21"/>
      <c r="L97" s="327"/>
    </row>
    <row r="98" spans="1:12">
      <c r="A98" s="261"/>
      <c r="B98" s="266"/>
      <c r="C98" s="267"/>
      <c r="D98" s="267"/>
      <c r="E98" s="285" t="s">
        <v>21</v>
      </c>
      <c r="F98" s="285"/>
      <c r="G98" s="285"/>
      <c r="H98" s="286"/>
      <c r="I98" s="288"/>
      <c r="J98" s="21"/>
      <c r="K98" s="21"/>
      <c r="L98" s="327"/>
    </row>
    <row r="99" spans="1:12">
      <c r="A99" s="261"/>
      <c r="B99" s="266"/>
      <c r="C99" s="267"/>
      <c r="D99" s="267"/>
      <c r="E99" s="285" t="s">
        <v>21</v>
      </c>
      <c r="F99" s="285"/>
      <c r="G99" s="287"/>
      <c r="H99" s="288"/>
      <c r="I99" s="288"/>
      <c r="J99" s="21"/>
      <c r="K99" s="21"/>
      <c r="L99" s="327"/>
    </row>
    <row r="100" spans="1:12">
      <c r="A100" s="21"/>
      <c r="B100" s="266"/>
      <c r="C100" s="267"/>
      <c r="D100" s="267"/>
      <c r="E100" s="289">
        <f t="shared" ref="E100:I100" si="5">SUM(E95:E99)</f>
        <v>4844</v>
      </c>
      <c r="F100" s="289">
        <f t="shared" si="5"/>
        <v>0</v>
      </c>
      <c r="G100" s="289">
        <f t="shared" si="5"/>
        <v>0</v>
      </c>
      <c r="H100" s="289">
        <f t="shared" si="5"/>
        <v>0</v>
      </c>
      <c r="I100" s="289">
        <f t="shared" si="5"/>
        <v>0</v>
      </c>
      <c r="J100" s="289">
        <f>E100+F100+G100+H100+I100</f>
        <v>4844</v>
      </c>
      <c r="K100" s="21"/>
      <c r="L100" s="327"/>
    </row>
    <row r="101" spans="1:10">
      <c r="A101" s="268"/>
      <c r="B101" s="252"/>
      <c r="C101" s="252"/>
      <c r="D101" s="252"/>
      <c r="E101" s="290"/>
      <c r="F101" s="290"/>
      <c r="G101" s="290"/>
      <c r="H101" s="290"/>
      <c r="I101" s="290"/>
      <c r="J101" s="268"/>
    </row>
    <row r="102" spans="1:10">
      <c r="A102" s="268"/>
      <c r="B102" s="252"/>
      <c r="C102" s="252"/>
      <c r="D102" s="252"/>
      <c r="E102" s="290"/>
      <c r="F102" s="290"/>
      <c r="G102" s="290"/>
      <c r="H102" s="185" t="s">
        <v>85</v>
      </c>
      <c r="I102" s="185"/>
      <c r="J102" s="307">
        <f>J89-J100</f>
        <v>7246</v>
      </c>
    </row>
    <row r="103" spans="1:10">
      <c r="A103" s="268"/>
      <c r="B103" s="252"/>
      <c r="C103" s="252"/>
      <c r="D103" s="252"/>
      <c r="E103" s="290"/>
      <c r="F103" s="290"/>
      <c r="G103" s="290"/>
      <c r="H103" s="290"/>
      <c r="I103" s="290"/>
      <c r="J103" s="268"/>
    </row>
    <row r="104" spans="1:11">
      <c r="A104" s="268"/>
      <c r="B104" s="198" t="s">
        <v>86</v>
      </c>
      <c r="C104" s="198"/>
      <c r="D104" s="199"/>
      <c r="E104" s="198" t="s">
        <v>87</v>
      </c>
      <c r="F104" s="198"/>
      <c r="G104" s="198"/>
      <c r="H104" s="198"/>
      <c r="I104" s="199"/>
      <c r="J104" s="198" t="s">
        <v>88</v>
      </c>
      <c r="K104" s="198"/>
    </row>
    <row r="105" spans="1:9">
      <c r="A105" s="268"/>
      <c r="C105" s="200"/>
      <c r="D105" s="200"/>
      <c r="E105" s="200"/>
      <c r="F105" s="200"/>
      <c r="G105" s="200"/>
      <c r="H105" s="200"/>
      <c r="I105" s="200"/>
    </row>
    <row r="106" spans="1:12">
      <c r="A106" s="268"/>
      <c r="B106" s="269" t="s">
        <v>17</v>
      </c>
      <c r="C106" s="269"/>
      <c r="D106" s="269"/>
      <c r="E106" s="291" t="s">
        <v>22</v>
      </c>
      <c r="F106" s="291"/>
      <c r="G106" s="291"/>
      <c r="H106" s="291"/>
      <c r="J106" s="308" t="s">
        <v>19</v>
      </c>
      <c r="K106" s="308"/>
      <c r="L106" s="308"/>
    </row>
    <row r="107" spans="1:11">
      <c r="A107" s="268"/>
      <c r="B107" s="198" t="s">
        <v>89</v>
      </c>
      <c r="C107" s="198"/>
      <c r="D107" s="199"/>
      <c r="E107" s="198" t="s">
        <v>90</v>
      </c>
      <c r="F107" s="198"/>
      <c r="G107" s="198"/>
      <c r="H107" s="198"/>
      <c r="J107" s="198" t="s">
        <v>91</v>
      </c>
      <c r="K107" s="198"/>
    </row>
    <row r="108" spans="1:10">
      <c r="A108" s="268"/>
      <c r="B108" s="252"/>
      <c r="C108" s="252"/>
      <c r="D108" s="252"/>
      <c r="E108" s="290"/>
      <c r="F108" s="290"/>
      <c r="G108" s="290"/>
      <c r="H108" s="290"/>
      <c r="I108" s="290"/>
      <c r="J108" s="268"/>
    </row>
    <row r="109" spans="1:10">
      <c r="A109" s="268"/>
      <c r="B109" s="252"/>
      <c r="C109" s="252"/>
      <c r="D109" s="252"/>
      <c r="E109" s="290"/>
      <c r="F109" s="290"/>
      <c r="G109" s="290"/>
      <c r="H109" s="290"/>
      <c r="I109" s="290"/>
      <c r="J109" s="268"/>
    </row>
    <row r="110" spans="1:10">
      <c r="A110" s="268"/>
      <c r="B110" s="252"/>
      <c r="C110" s="252"/>
      <c r="D110" s="252"/>
      <c r="E110" s="290"/>
      <c r="F110" s="290"/>
      <c r="G110" s="290"/>
      <c r="H110" s="290"/>
      <c r="I110" s="290"/>
      <c r="J110" s="268"/>
    </row>
    <row r="111" spans="1:10">
      <c r="A111" s="268"/>
      <c r="B111" s="252"/>
      <c r="C111" s="252"/>
      <c r="D111" s="252"/>
      <c r="E111" s="290"/>
      <c r="F111" s="290"/>
      <c r="G111" s="290"/>
      <c r="H111" s="290"/>
      <c r="I111" s="290"/>
      <c r="J111" s="268"/>
    </row>
    <row r="112" spans="1:10">
      <c r="A112" s="268"/>
      <c r="B112" s="252"/>
      <c r="C112" s="252"/>
      <c r="D112" s="252"/>
      <c r="E112" s="290"/>
      <c r="F112" s="290"/>
      <c r="G112" s="290"/>
      <c r="H112" s="290"/>
      <c r="I112" s="290"/>
      <c r="J112" s="268"/>
    </row>
    <row r="113" spans="1:10">
      <c r="A113" s="268"/>
      <c r="B113" s="252"/>
      <c r="C113" s="252"/>
      <c r="D113" s="252"/>
      <c r="E113" s="290"/>
      <c r="F113" s="290"/>
      <c r="G113" s="290"/>
      <c r="H113" s="290"/>
      <c r="I113" s="290"/>
      <c r="J113" s="268"/>
    </row>
    <row r="114" spans="1:10">
      <c r="A114" s="268"/>
      <c r="B114" s="252"/>
      <c r="C114" s="252"/>
      <c r="D114" s="252"/>
      <c r="E114" s="290"/>
      <c r="F114" s="290"/>
      <c r="G114" s="290"/>
      <c r="H114" s="290"/>
      <c r="I114" s="290"/>
      <c r="J114" s="268"/>
    </row>
    <row r="115" spans="1:10">
      <c r="A115" s="268"/>
      <c r="B115" s="252"/>
      <c r="C115" s="252"/>
      <c r="D115" s="252"/>
      <c r="E115" s="290"/>
      <c r="F115" s="290"/>
      <c r="G115" s="290"/>
      <c r="H115" s="290"/>
      <c r="I115" s="290"/>
      <c r="J115" s="268"/>
    </row>
    <row r="116" spans="1:10">
      <c r="A116" s="268"/>
      <c r="B116" s="252"/>
      <c r="C116" s="252"/>
      <c r="D116" s="252"/>
      <c r="E116" s="290"/>
      <c r="F116" s="290"/>
      <c r="G116" s="290"/>
      <c r="H116" s="290"/>
      <c r="I116" s="290"/>
      <c r="J116" s="268"/>
    </row>
    <row r="117" spans="1:10">
      <c r="A117" s="268"/>
      <c r="B117" s="252"/>
      <c r="C117" s="252"/>
      <c r="D117" s="252"/>
      <c r="E117" s="290"/>
      <c r="F117" s="290"/>
      <c r="G117" s="290"/>
      <c r="H117" s="290"/>
      <c r="I117" s="290"/>
      <c r="J117" s="268"/>
    </row>
    <row r="118" spans="1:10">
      <c r="A118" s="268"/>
      <c r="B118" s="252"/>
      <c r="C118" s="252"/>
      <c r="D118" s="252"/>
      <c r="E118" s="290"/>
      <c r="F118" s="290"/>
      <c r="G118" s="290"/>
      <c r="H118" s="290"/>
      <c r="I118" s="290"/>
      <c r="J118" s="268"/>
    </row>
    <row r="119" spans="1:10">
      <c r="A119" s="268"/>
      <c r="B119" s="252"/>
      <c r="C119" s="252"/>
      <c r="D119" s="252"/>
      <c r="E119" s="290"/>
      <c r="F119" s="290"/>
      <c r="G119" s="290"/>
      <c r="H119" s="290"/>
      <c r="I119" s="290"/>
      <c r="J119" s="268"/>
    </row>
    <row r="120" spans="1:10">
      <c r="A120" s="268"/>
      <c r="B120" s="252"/>
      <c r="C120" s="252"/>
      <c r="D120" s="252"/>
      <c r="E120" s="290"/>
      <c r="F120" s="290"/>
      <c r="G120" s="290"/>
      <c r="H120" s="290"/>
      <c r="I120" s="290"/>
      <c r="J120" s="268"/>
    </row>
    <row r="121" spans="1:10">
      <c r="A121" s="268"/>
      <c r="B121" s="252"/>
      <c r="C121" s="252"/>
      <c r="D121" s="252"/>
      <c r="E121" s="290"/>
      <c r="F121" s="290"/>
      <c r="G121" s="290"/>
      <c r="H121" s="290"/>
      <c r="I121" s="290"/>
      <c r="J121" s="268"/>
    </row>
    <row r="131" spans="1:12">
      <c r="A131" s="270"/>
      <c r="B131" s="270"/>
      <c r="C131" s="270"/>
      <c r="D131" s="270"/>
      <c r="E131" s="270"/>
      <c r="F131" s="270"/>
      <c r="G131" s="270"/>
      <c r="H131" s="270"/>
      <c r="I131" s="270"/>
      <c r="J131" s="270"/>
      <c r="K131" s="270"/>
      <c r="L131" s="270"/>
    </row>
    <row r="132" spans="3:12">
      <c r="C132" s="240"/>
      <c r="D132" s="165" t="s">
        <v>44</v>
      </c>
      <c r="E132" s="33"/>
      <c r="F132" s="33"/>
      <c r="G132" s="33"/>
      <c r="H132" s="33"/>
      <c r="I132" s="33"/>
      <c r="J132" s="33"/>
      <c r="K132" s="292"/>
      <c r="L132" s="292"/>
    </row>
    <row r="133" spans="7:10">
      <c r="G133" s="198"/>
      <c r="H133" s="198"/>
      <c r="I133" s="198"/>
      <c r="J133" s="198"/>
    </row>
    <row r="134" ht="13.9" spans="2:11">
      <c r="B134" s="241" t="s">
        <v>136</v>
      </c>
      <c r="C134" s="241"/>
      <c r="D134" s="241"/>
      <c r="E134" s="241"/>
      <c r="F134" s="241"/>
      <c r="G134" s="241"/>
      <c r="H134" s="241"/>
      <c r="I134" s="241"/>
      <c r="J134" s="241"/>
      <c r="K134" s="241"/>
    </row>
    <row r="135" ht="14.45" spans="2:10">
      <c r="B135" s="242" t="s">
        <v>46</v>
      </c>
      <c r="C135" s="243">
        <v>300</v>
      </c>
      <c r="D135" s="242"/>
      <c r="E135" s="271" t="s">
        <v>47</v>
      </c>
      <c r="F135" s="242"/>
      <c r="G135" s="272">
        <v>50</v>
      </c>
      <c r="H135" s="272"/>
      <c r="I135" s="198" t="s">
        <v>48</v>
      </c>
      <c r="J135" s="198">
        <v>17</v>
      </c>
    </row>
    <row r="136" ht="14.45" spans="2:10">
      <c r="B136" s="242"/>
      <c r="C136" s="243"/>
      <c r="D136" s="242"/>
      <c r="E136" s="271"/>
      <c r="F136" s="242"/>
      <c r="G136" s="272"/>
      <c r="H136" s="272"/>
      <c r="I136" s="198"/>
      <c r="J136" s="198"/>
    </row>
    <row r="137" ht="13.9" spans="5:11">
      <c r="E137" s="254" t="s">
        <v>49</v>
      </c>
      <c r="F137" s="254"/>
      <c r="G137" s="254"/>
      <c r="H137" s="254"/>
      <c r="I137" s="254"/>
      <c r="J137" s="293"/>
      <c r="K137" s="293"/>
    </row>
    <row r="138" spans="1:12">
      <c r="A138" s="244" t="s">
        <v>51</v>
      </c>
      <c r="B138" s="245" t="s">
        <v>52</v>
      </c>
      <c r="C138" s="245"/>
      <c r="D138" s="245"/>
      <c r="E138" s="273" t="s">
        <v>53</v>
      </c>
      <c r="F138" s="274" t="s">
        <v>54</v>
      </c>
      <c r="G138" s="275" t="s">
        <v>55</v>
      </c>
      <c r="H138" s="275" t="s">
        <v>56</v>
      </c>
      <c r="I138" s="294" t="s">
        <v>57</v>
      </c>
      <c r="J138" s="273" t="s">
        <v>58</v>
      </c>
      <c r="K138" s="273" t="s">
        <v>59</v>
      </c>
      <c r="L138" s="273" t="s">
        <v>60</v>
      </c>
    </row>
    <row r="139" spans="1:12">
      <c r="A139" s="329" t="s">
        <v>137</v>
      </c>
      <c r="B139" s="247" t="s">
        <v>138</v>
      </c>
      <c r="C139" s="330"/>
      <c r="D139" s="331"/>
      <c r="E139" s="333">
        <v>905</v>
      </c>
      <c r="F139" s="334">
        <v>150</v>
      </c>
      <c r="G139" s="335"/>
      <c r="H139" s="335">
        <v>45</v>
      </c>
      <c r="I139" s="338"/>
      <c r="J139" s="295">
        <f t="shared" ref="J139:J141" si="6">SUM(E139+F139+G139+H139+I139)</f>
        <v>1100</v>
      </c>
      <c r="K139" s="273"/>
      <c r="L139" s="339" t="s">
        <v>139</v>
      </c>
    </row>
    <row r="140" spans="1:12">
      <c r="A140" s="246" t="s">
        <v>140</v>
      </c>
      <c r="B140" s="247" t="s">
        <v>141</v>
      </c>
      <c r="C140" s="248"/>
      <c r="D140" s="249"/>
      <c r="E140" s="336">
        <v>855</v>
      </c>
      <c r="F140" s="336">
        <v>150</v>
      </c>
      <c r="G140" s="336">
        <v>0</v>
      </c>
      <c r="H140" s="336">
        <v>45</v>
      </c>
      <c r="I140" s="336">
        <v>0</v>
      </c>
      <c r="J140" s="295">
        <f t="shared" si="6"/>
        <v>1050</v>
      </c>
      <c r="K140" s="296">
        <v>46079</v>
      </c>
      <c r="L140" s="297" t="s">
        <v>142</v>
      </c>
    </row>
    <row r="141" spans="1:12">
      <c r="A141" s="246" t="s">
        <v>143</v>
      </c>
      <c r="B141" s="247" t="s">
        <v>144</v>
      </c>
      <c r="C141" s="248"/>
      <c r="D141" s="249"/>
      <c r="E141" s="336">
        <v>285</v>
      </c>
      <c r="F141" s="336">
        <v>50</v>
      </c>
      <c r="G141" s="336">
        <v>0</v>
      </c>
      <c r="H141" s="336">
        <v>15</v>
      </c>
      <c r="I141" s="336">
        <v>0</v>
      </c>
      <c r="J141" s="295">
        <f t="shared" si="6"/>
        <v>350</v>
      </c>
      <c r="K141" s="296">
        <v>46084</v>
      </c>
      <c r="L141" s="299" t="s">
        <v>145</v>
      </c>
    </row>
    <row r="142" spans="1:14">
      <c r="A142" s="246" t="s">
        <v>146</v>
      </c>
      <c r="B142" s="247" t="s">
        <v>115</v>
      </c>
      <c r="C142" s="248"/>
      <c r="D142" s="249"/>
      <c r="E142" s="336">
        <v>285</v>
      </c>
      <c r="F142" s="336">
        <v>50</v>
      </c>
      <c r="G142" s="336"/>
      <c r="H142" s="336">
        <v>15</v>
      </c>
      <c r="I142" s="336"/>
      <c r="J142" s="295">
        <f t="shared" ref="J142:J165" si="7">SUM(E142+F142+G142+H142+I142)</f>
        <v>350</v>
      </c>
      <c r="K142" s="296">
        <v>46084</v>
      </c>
      <c r="L142" s="299" t="s">
        <v>145</v>
      </c>
      <c r="N142" t="s">
        <v>147</v>
      </c>
    </row>
    <row r="143" spans="1:12">
      <c r="A143" s="246" t="s">
        <v>148</v>
      </c>
      <c r="B143" s="247" t="s">
        <v>124</v>
      </c>
      <c r="C143" s="248"/>
      <c r="D143" s="249"/>
      <c r="E143" s="336">
        <v>285</v>
      </c>
      <c r="F143" s="336">
        <v>50</v>
      </c>
      <c r="G143" s="336"/>
      <c r="H143" s="336">
        <v>15</v>
      </c>
      <c r="I143" s="336"/>
      <c r="J143" s="295">
        <f t="shared" si="7"/>
        <v>350</v>
      </c>
      <c r="K143" s="296">
        <v>46084</v>
      </c>
      <c r="L143" s="299" t="s">
        <v>149</v>
      </c>
    </row>
    <row r="144" spans="1:12">
      <c r="A144" s="246" t="s">
        <v>150</v>
      </c>
      <c r="B144" s="247" t="s">
        <v>106</v>
      </c>
      <c r="C144" s="248"/>
      <c r="D144" s="249"/>
      <c r="E144" s="336">
        <v>307</v>
      </c>
      <c r="F144" s="336">
        <v>50</v>
      </c>
      <c r="G144" s="336"/>
      <c r="H144" s="336">
        <v>15</v>
      </c>
      <c r="I144" s="336">
        <v>128</v>
      </c>
      <c r="J144" s="295">
        <f t="shared" si="7"/>
        <v>500</v>
      </c>
      <c r="K144" s="296">
        <v>46084</v>
      </c>
      <c r="L144" s="340" t="s">
        <v>151</v>
      </c>
    </row>
    <row r="145" ht="24.85" spans="1:12">
      <c r="A145" s="246" t="s">
        <v>152</v>
      </c>
      <c r="B145" s="247" t="s">
        <v>94</v>
      </c>
      <c r="C145" s="248"/>
      <c r="D145" s="249"/>
      <c r="E145" s="336">
        <v>0</v>
      </c>
      <c r="F145" s="337">
        <v>6344</v>
      </c>
      <c r="G145" s="336"/>
      <c r="H145" s="336">
        <v>0</v>
      </c>
      <c r="I145" s="336"/>
      <c r="J145" s="295">
        <f t="shared" si="7"/>
        <v>6344</v>
      </c>
      <c r="K145" s="296">
        <v>46084</v>
      </c>
      <c r="L145" s="297" t="s">
        <v>153</v>
      </c>
    </row>
    <row r="146" ht="24.85" spans="1:12">
      <c r="A146" s="246" t="s">
        <v>154</v>
      </c>
      <c r="B146" s="247" t="s">
        <v>94</v>
      </c>
      <c r="C146" s="248"/>
      <c r="D146" s="249"/>
      <c r="E146" s="337">
        <v>5320.5</v>
      </c>
      <c r="F146" s="336">
        <v>0</v>
      </c>
      <c r="G146" s="336"/>
      <c r="H146" s="336">
        <v>0</v>
      </c>
      <c r="I146" s="336"/>
      <c r="J146" s="295">
        <f t="shared" si="7"/>
        <v>5320.5</v>
      </c>
      <c r="K146" s="296">
        <v>46084</v>
      </c>
      <c r="L146" s="297" t="s">
        <v>155</v>
      </c>
    </row>
    <row r="147" spans="1:12">
      <c r="A147" s="246" t="s">
        <v>156</v>
      </c>
      <c r="B147" s="332" t="s">
        <v>157</v>
      </c>
      <c r="C147" s="330"/>
      <c r="D147" s="249"/>
      <c r="E147" s="337"/>
      <c r="F147" s="336"/>
      <c r="G147" s="336"/>
      <c r="H147" s="336"/>
      <c r="I147" s="336"/>
      <c r="J147" s="295"/>
      <c r="K147" s="296"/>
      <c r="L147" s="297"/>
    </row>
    <row r="148" spans="1:12">
      <c r="A148" s="246" t="s">
        <v>158</v>
      </c>
      <c r="B148" s="247" t="s">
        <v>130</v>
      </c>
      <c r="C148" s="248"/>
      <c r="D148" s="249"/>
      <c r="E148" s="336">
        <v>285</v>
      </c>
      <c r="F148" s="336">
        <v>50</v>
      </c>
      <c r="G148" s="336"/>
      <c r="H148" s="336">
        <v>15</v>
      </c>
      <c r="I148" s="336"/>
      <c r="J148" s="295">
        <f t="shared" si="7"/>
        <v>350</v>
      </c>
      <c r="K148" s="296">
        <v>46085</v>
      </c>
      <c r="L148" s="299" t="s">
        <v>159</v>
      </c>
    </row>
    <row r="149" spans="1:12">
      <c r="A149" s="246" t="s">
        <v>160</v>
      </c>
      <c r="B149" s="247" t="s">
        <v>161</v>
      </c>
      <c r="C149" s="248"/>
      <c r="D149" s="249"/>
      <c r="E149" s="336">
        <v>335</v>
      </c>
      <c r="F149" s="336">
        <v>50</v>
      </c>
      <c r="G149" s="336"/>
      <c r="H149" s="336">
        <v>15</v>
      </c>
      <c r="I149" s="336"/>
      <c r="J149" s="295">
        <f t="shared" si="7"/>
        <v>400</v>
      </c>
      <c r="K149" s="296">
        <v>46085</v>
      </c>
      <c r="L149" s="297" t="s">
        <v>162</v>
      </c>
    </row>
    <row r="150" spans="1:16">
      <c r="A150" s="246" t="s">
        <v>163</v>
      </c>
      <c r="B150" s="247" t="s">
        <v>164</v>
      </c>
      <c r="C150" s="248"/>
      <c r="D150" s="249"/>
      <c r="E150" s="336">
        <v>285</v>
      </c>
      <c r="F150" s="336">
        <v>50</v>
      </c>
      <c r="G150" s="336"/>
      <c r="H150" s="336">
        <v>15</v>
      </c>
      <c r="I150" s="336"/>
      <c r="J150" s="295">
        <f t="shared" si="7"/>
        <v>350</v>
      </c>
      <c r="K150" s="296">
        <v>46085</v>
      </c>
      <c r="L150" s="299" t="s">
        <v>159</v>
      </c>
      <c r="N150" s="15" t="s">
        <v>116</v>
      </c>
      <c r="O150" s="173">
        <v>350</v>
      </c>
      <c r="P150" s="173">
        <v>400</v>
      </c>
    </row>
    <row r="151" spans="1:16">
      <c r="A151" s="246" t="s">
        <v>165</v>
      </c>
      <c r="B151" s="247" t="s">
        <v>33</v>
      </c>
      <c r="C151" s="248"/>
      <c r="D151" s="249"/>
      <c r="E151" s="336">
        <v>570</v>
      </c>
      <c r="F151" s="336">
        <v>100</v>
      </c>
      <c r="G151" s="336"/>
      <c r="H151" s="336">
        <v>30</v>
      </c>
      <c r="I151" s="336"/>
      <c r="J151" s="295">
        <f t="shared" si="7"/>
        <v>700</v>
      </c>
      <c r="K151" s="296">
        <v>46086</v>
      </c>
      <c r="L151" s="298" t="s">
        <v>166</v>
      </c>
      <c r="N151" s="21">
        <v>1</v>
      </c>
      <c r="O151" s="287">
        <v>285</v>
      </c>
      <c r="P151" s="287">
        <v>335</v>
      </c>
    </row>
    <row r="152" spans="1:16">
      <c r="A152" s="246" t="s">
        <v>167</v>
      </c>
      <c r="B152" s="247" t="s">
        <v>94</v>
      </c>
      <c r="C152" s="248"/>
      <c r="D152" s="249"/>
      <c r="E152" s="336">
        <v>285</v>
      </c>
      <c r="F152" s="336">
        <v>50</v>
      </c>
      <c r="G152" s="336"/>
      <c r="H152" s="336">
        <v>15</v>
      </c>
      <c r="I152" s="336"/>
      <c r="J152" s="295">
        <f t="shared" si="7"/>
        <v>350</v>
      </c>
      <c r="K152" s="296">
        <v>46086</v>
      </c>
      <c r="L152" s="297" t="s">
        <v>168</v>
      </c>
      <c r="N152" s="21">
        <v>2</v>
      </c>
      <c r="O152" s="287">
        <f>285*2</f>
        <v>570</v>
      </c>
      <c r="P152" s="287">
        <v>670</v>
      </c>
    </row>
    <row r="153" spans="1:16">
      <c r="A153" s="246" t="s">
        <v>169</v>
      </c>
      <c r="B153" s="247" t="s">
        <v>170</v>
      </c>
      <c r="C153" s="248"/>
      <c r="D153" s="249"/>
      <c r="E153" s="336">
        <v>322</v>
      </c>
      <c r="F153" s="336">
        <v>50</v>
      </c>
      <c r="G153" s="336"/>
      <c r="H153" s="336">
        <v>0</v>
      </c>
      <c r="I153" s="336">
        <v>128</v>
      </c>
      <c r="J153" s="295">
        <f t="shared" si="7"/>
        <v>500</v>
      </c>
      <c r="K153" s="296">
        <v>46087</v>
      </c>
      <c r="L153" s="297" t="s">
        <v>171</v>
      </c>
      <c r="N153" s="21">
        <v>3</v>
      </c>
      <c r="O153" s="287">
        <f>285*3</f>
        <v>855</v>
      </c>
      <c r="P153" s="287">
        <v>1005</v>
      </c>
    </row>
    <row r="154" spans="1:16">
      <c r="A154" s="246" t="s">
        <v>172</v>
      </c>
      <c r="B154" s="247" t="s">
        <v>106</v>
      </c>
      <c r="C154" s="248"/>
      <c r="D154" s="249"/>
      <c r="E154" s="336">
        <v>570</v>
      </c>
      <c r="F154" s="336">
        <v>100</v>
      </c>
      <c r="G154" s="336"/>
      <c r="H154" s="336">
        <v>30</v>
      </c>
      <c r="I154" s="336"/>
      <c r="J154" s="295">
        <f t="shared" si="7"/>
        <v>700</v>
      </c>
      <c r="K154" s="296">
        <v>46087</v>
      </c>
      <c r="L154" s="299" t="s">
        <v>173</v>
      </c>
      <c r="N154" s="21">
        <v>4</v>
      </c>
      <c r="O154" s="287">
        <f>285*4</f>
        <v>1140</v>
      </c>
      <c r="P154" s="287">
        <v>1340</v>
      </c>
    </row>
    <row r="155" spans="1:16">
      <c r="A155" s="246" t="s">
        <v>174</v>
      </c>
      <c r="B155" s="247" t="s">
        <v>97</v>
      </c>
      <c r="C155" s="248"/>
      <c r="D155" s="249"/>
      <c r="E155" s="336">
        <v>570</v>
      </c>
      <c r="F155" s="336">
        <v>100</v>
      </c>
      <c r="G155" s="336"/>
      <c r="H155" s="336">
        <v>30</v>
      </c>
      <c r="I155" s="336"/>
      <c r="J155" s="295">
        <f t="shared" si="7"/>
        <v>700</v>
      </c>
      <c r="K155" s="296">
        <v>46091</v>
      </c>
      <c r="L155" s="299" t="s">
        <v>175</v>
      </c>
      <c r="N155" s="21"/>
      <c r="O155" s="287"/>
      <c r="P155" s="287"/>
    </row>
    <row r="156" ht="16.5" customHeight="1" spans="1:16">
      <c r="A156" s="246" t="s">
        <v>176</v>
      </c>
      <c r="B156" s="247" t="s">
        <v>94</v>
      </c>
      <c r="C156" s="248"/>
      <c r="D156" s="249"/>
      <c r="E156" s="336">
        <v>855</v>
      </c>
      <c r="F156" s="336"/>
      <c r="G156" s="336"/>
      <c r="H156" s="336"/>
      <c r="I156" s="336"/>
      <c r="J156" s="295">
        <f t="shared" si="7"/>
        <v>855</v>
      </c>
      <c r="K156" s="296">
        <v>46091</v>
      </c>
      <c r="L156" s="299" t="s">
        <v>177</v>
      </c>
      <c r="N156" s="21"/>
      <c r="O156" s="287"/>
      <c r="P156" s="287"/>
    </row>
    <row r="157" spans="1:16">
      <c r="A157" s="246" t="s">
        <v>178</v>
      </c>
      <c r="B157" s="247" t="s">
        <v>179</v>
      </c>
      <c r="C157" s="248"/>
      <c r="D157" s="249"/>
      <c r="E157" s="336">
        <v>570</v>
      </c>
      <c r="F157" s="336">
        <v>100</v>
      </c>
      <c r="G157" s="336"/>
      <c r="H157" s="336">
        <v>30</v>
      </c>
      <c r="I157" s="336"/>
      <c r="J157" s="295">
        <f t="shared" si="7"/>
        <v>700</v>
      </c>
      <c r="K157" s="296">
        <v>46091</v>
      </c>
      <c r="L157" s="299" t="s">
        <v>175</v>
      </c>
      <c r="N157" s="21"/>
      <c r="O157" s="287"/>
      <c r="P157" s="287"/>
    </row>
    <row r="158" spans="1:16">
      <c r="A158" s="246"/>
      <c r="B158" s="247" t="s">
        <v>62</v>
      </c>
      <c r="C158" s="248"/>
      <c r="D158" s="249"/>
      <c r="E158" s="336"/>
      <c r="F158" s="336"/>
      <c r="G158" s="336">
        <v>270</v>
      </c>
      <c r="H158" s="336"/>
      <c r="I158" s="336"/>
      <c r="J158" s="295">
        <f t="shared" si="7"/>
        <v>270</v>
      </c>
      <c r="K158" s="296">
        <v>46084</v>
      </c>
      <c r="L158" s="299"/>
      <c r="N158" s="21"/>
      <c r="O158" s="287"/>
      <c r="P158" s="287"/>
    </row>
    <row r="159" spans="1:16">
      <c r="A159" s="246"/>
      <c r="B159" s="247" t="s">
        <v>62</v>
      </c>
      <c r="C159" s="248"/>
      <c r="D159" s="249"/>
      <c r="E159" s="336"/>
      <c r="F159" s="336"/>
      <c r="G159" s="336">
        <v>135</v>
      </c>
      <c r="H159" s="336"/>
      <c r="I159" s="336"/>
      <c r="J159" s="295">
        <f t="shared" si="7"/>
        <v>135</v>
      </c>
      <c r="K159" s="296">
        <v>46091</v>
      </c>
      <c r="L159" s="299"/>
      <c r="N159" s="21"/>
      <c r="O159" s="287"/>
      <c r="P159" s="287"/>
    </row>
    <row r="160" spans="1:16">
      <c r="A160" s="246" t="s">
        <v>180</v>
      </c>
      <c r="B160" s="247" t="s">
        <v>94</v>
      </c>
      <c r="C160" s="248"/>
      <c r="D160" s="249"/>
      <c r="E160" s="336">
        <v>285</v>
      </c>
      <c r="F160" s="336">
        <v>50</v>
      </c>
      <c r="G160" s="336"/>
      <c r="H160" s="336">
        <v>15</v>
      </c>
      <c r="I160" s="336"/>
      <c r="J160" s="295">
        <f t="shared" si="7"/>
        <v>350</v>
      </c>
      <c r="K160" s="296">
        <v>46098</v>
      </c>
      <c r="L160" s="299" t="s">
        <v>159</v>
      </c>
      <c r="N160" s="21"/>
      <c r="O160" s="287"/>
      <c r="P160" s="287"/>
    </row>
    <row r="161" spans="1:16">
      <c r="A161" s="246" t="s">
        <v>181</v>
      </c>
      <c r="B161" s="247" t="s">
        <v>118</v>
      </c>
      <c r="C161" s="248"/>
      <c r="D161" s="249"/>
      <c r="E161" s="336">
        <v>385</v>
      </c>
      <c r="F161" s="336">
        <v>50</v>
      </c>
      <c r="G161" s="336"/>
      <c r="H161" s="336">
        <v>15</v>
      </c>
      <c r="I161" s="336">
        <v>0</v>
      </c>
      <c r="J161" s="295">
        <f t="shared" si="7"/>
        <v>450</v>
      </c>
      <c r="K161" s="296">
        <v>46099</v>
      </c>
      <c r="L161" s="340" t="s">
        <v>182</v>
      </c>
      <c r="N161" s="21"/>
      <c r="O161" s="287"/>
      <c r="P161" s="287"/>
    </row>
    <row r="162" spans="1:16">
      <c r="A162" s="246"/>
      <c r="B162" s="247" t="s">
        <v>62</v>
      </c>
      <c r="C162" s="248"/>
      <c r="D162" s="249"/>
      <c r="E162" s="336"/>
      <c r="F162" s="336"/>
      <c r="G162" s="336">
        <v>128</v>
      </c>
      <c r="H162" s="336"/>
      <c r="I162" s="336"/>
      <c r="J162" s="295">
        <f t="shared" si="7"/>
        <v>128</v>
      </c>
      <c r="K162" s="296">
        <v>46098</v>
      </c>
      <c r="L162" s="299" t="s">
        <v>21</v>
      </c>
      <c r="N162" s="21"/>
      <c r="O162" s="287"/>
      <c r="P162" s="287"/>
    </row>
    <row r="163" spans="1:16">
      <c r="A163" s="246" t="s">
        <v>183</v>
      </c>
      <c r="B163" s="247" t="s">
        <v>33</v>
      </c>
      <c r="C163" s="248"/>
      <c r="D163" s="249"/>
      <c r="E163" s="336">
        <v>285</v>
      </c>
      <c r="F163" s="336">
        <v>50</v>
      </c>
      <c r="G163" s="336"/>
      <c r="H163" s="336">
        <v>15</v>
      </c>
      <c r="I163" s="336">
        <v>0</v>
      </c>
      <c r="J163" s="295">
        <f t="shared" si="7"/>
        <v>350</v>
      </c>
      <c r="K163" s="296">
        <v>46106</v>
      </c>
      <c r="L163" s="299" t="s">
        <v>184</v>
      </c>
      <c r="N163" s="21"/>
      <c r="O163" s="287"/>
      <c r="P163" s="287"/>
    </row>
    <row r="164" spans="1:16">
      <c r="A164" s="246"/>
      <c r="B164" s="247" t="s">
        <v>185</v>
      </c>
      <c r="C164" s="248"/>
      <c r="D164" s="249"/>
      <c r="E164" s="336">
        <v>3500</v>
      </c>
      <c r="F164" s="336"/>
      <c r="G164" s="336"/>
      <c r="H164" s="336"/>
      <c r="I164" s="336"/>
      <c r="J164" s="295">
        <f t="shared" si="7"/>
        <v>3500</v>
      </c>
      <c r="K164" s="296"/>
      <c r="L164" s="299"/>
      <c r="N164" s="21"/>
      <c r="O164" s="287"/>
      <c r="P164" s="287"/>
    </row>
    <row r="165" spans="1:16">
      <c r="A165" s="246"/>
      <c r="B165" s="250"/>
      <c r="C165" s="250"/>
      <c r="D165" s="250"/>
      <c r="E165" s="278">
        <f>SUM(E139:E164)</f>
        <v>17344.5</v>
      </c>
      <c r="F165" s="278">
        <f t="shared" ref="F165:I165" si="8">SUM(F139:F163)</f>
        <v>7644</v>
      </c>
      <c r="G165" s="278">
        <f t="shared" si="8"/>
        <v>533</v>
      </c>
      <c r="H165" s="278">
        <f t="shared" si="8"/>
        <v>375</v>
      </c>
      <c r="I165" s="278">
        <f t="shared" si="8"/>
        <v>256</v>
      </c>
      <c r="J165" s="295">
        <f t="shared" si="7"/>
        <v>26152.5</v>
      </c>
      <c r="K165" s="300"/>
      <c r="L165" s="297"/>
      <c r="N165" s="21">
        <v>6</v>
      </c>
      <c r="O165" s="287">
        <f>285*6</f>
        <v>1710</v>
      </c>
      <c r="P165" s="287">
        <v>2010</v>
      </c>
    </row>
    <row r="166" spans="1:14">
      <c r="A166" s="251"/>
      <c r="B166" s="252"/>
      <c r="C166" s="252"/>
      <c r="D166" s="252"/>
      <c r="E166" s="279"/>
      <c r="F166" s="279"/>
      <c r="G166" s="280"/>
      <c r="H166" s="280"/>
      <c r="I166" s="280"/>
      <c r="J166" s="301"/>
      <c r="N166" t="s">
        <v>21</v>
      </c>
    </row>
    <row r="167" spans="1:10">
      <c r="A167" s="253"/>
      <c r="B167" s="252"/>
      <c r="C167" s="252"/>
      <c r="D167" s="252"/>
      <c r="E167" s="280"/>
      <c r="F167" s="280"/>
      <c r="G167" s="281"/>
      <c r="H167" s="281"/>
      <c r="I167" s="281"/>
      <c r="J167" s="268"/>
    </row>
    <row r="168" ht="13.9" spans="3:9">
      <c r="C168" s="254" t="s">
        <v>75</v>
      </c>
      <c r="D168" s="254"/>
      <c r="E168" s="254"/>
      <c r="F168" s="254"/>
      <c r="G168" s="254"/>
      <c r="H168" s="254"/>
      <c r="I168" s="254"/>
    </row>
    <row r="169" spans="1:12">
      <c r="A169" s="255" t="s">
        <v>76</v>
      </c>
      <c r="B169" s="256" t="s">
        <v>77</v>
      </c>
      <c r="C169" s="257"/>
      <c r="D169" s="257"/>
      <c r="E169" s="15" t="s">
        <v>78</v>
      </c>
      <c r="F169" s="15"/>
      <c r="G169" s="15"/>
      <c r="H169" s="15"/>
      <c r="I169" s="15"/>
      <c r="J169" s="15"/>
      <c r="K169" s="255" t="s">
        <v>59</v>
      </c>
      <c r="L169" s="302" t="s">
        <v>79</v>
      </c>
    </row>
    <row r="170" spans="1:12">
      <c r="A170" s="258"/>
      <c r="B170" s="259"/>
      <c r="C170" s="260"/>
      <c r="D170" s="260"/>
      <c r="E170" s="15" t="s">
        <v>53</v>
      </c>
      <c r="F170" s="15" t="s">
        <v>80</v>
      </c>
      <c r="G170" s="282" t="s">
        <v>81</v>
      </c>
      <c r="H170" s="23" t="s">
        <v>56</v>
      </c>
      <c r="I170" s="282" t="s">
        <v>82</v>
      </c>
      <c r="J170" s="174" t="s">
        <v>58</v>
      </c>
      <c r="K170" s="258"/>
      <c r="L170" s="303"/>
    </row>
    <row r="171" spans="1:12">
      <c r="A171" s="261">
        <v>1</v>
      </c>
      <c r="B171" s="315" t="s">
        <v>186</v>
      </c>
      <c r="C171" s="316"/>
      <c r="D171" s="316"/>
      <c r="E171" s="285">
        <v>85</v>
      </c>
      <c r="F171" s="285"/>
      <c r="G171" s="285"/>
      <c r="H171" s="286"/>
      <c r="I171" s="288"/>
      <c r="J171" s="287">
        <f>E171+F171+G171+H171+I171</f>
        <v>85</v>
      </c>
      <c r="K171" s="325" t="s">
        <v>21</v>
      </c>
      <c r="L171" s="326" t="s">
        <v>21</v>
      </c>
    </row>
    <row r="172" spans="1:12">
      <c r="A172" s="261">
        <v>2</v>
      </c>
      <c r="B172" s="262" t="s">
        <v>187</v>
      </c>
      <c r="C172" s="263"/>
      <c r="D172" s="263"/>
      <c r="E172" s="283">
        <v>4386</v>
      </c>
      <c r="F172" s="283"/>
      <c r="G172" s="283"/>
      <c r="H172" s="284"/>
      <c r="I172" s="304"/>
      <c r="J172" s="300"/>
      <c r="K172" s="300"/>
      <c r="L172" s="341" t="s">
        <v>21</v>
      </c>
    </row>
    <row r="173" spans="1:12">
      <c r="A173" s="261">
        <v>3</v>
      </c>
      <c r="B173" s="262" t="s">
        <v>188</v>
      </c>
      <c r="C173" s="263"/>
      <c r="D173" s="263"/>
      <c r="E173" s="283">
        <v>100</v>
      </c>
      <c r="F173" s="283"/>
      <c r="G173" s="283"/>
      <c r="H173" s="284"/>
      <c r="I173" s="304">
        <v>0</v>
      </c>
      <c r="J173" s="300"/>
      <c r="K173" s="300"/>
      <c r="L173" s="341"/>
    </row>
    <row r="174" spans="1:12">
      <c r="A174" s="261">
        <v>4</v>
      </c>
      <c r="B174" s="264" t="s">
        <v>185</v>
      </c>
      <c r="C174" s="265"/>
      <c r="D174" s="265"/>
      <c r="E174" s="283">
        <v>3500</v>
      </c>
      <c r="F174" s="283"/>
      <c r="G174" s="283"/>
      <c r="H174" s="284"/>
      <c r="I174" s="304"/>
      <c r="J174" s="300"/>
      <c r="K174" s="300"/>
      <c r="L174" s="341"/>
    </row>
    <row r="175" spans="1:12">
      <c r="A175" s="261"/>
      <c r="B175" s="266"/>
      <c r="C175" s="267"/>
      <c r="D175" s="267"/>
      <c r="E175" s="285" t="s">
        <v>21</v>
      </c>
      <c r="F175" s="285"/>
      <c r="G175" s="287"/>
      <c r="H175" s="288"/>
      <c r="I175" s="288"/>
      <c r="J175" s="21"/>
      <c r="K175" s="21"/>
      <c r="L175" s="327"/>
    </row>
    <row r="176" spans="1:12">
      <c r="A176" s="21"/>
      <c r="B176" s="266"/>
      <c r="C176" s="267"/>
      <c r="D176" s="267"/>
      <c r="E176" s="289">
        <f t="shared" ref="E176:I176" si="9">SUM(E171:E175)</f>
        <v>8071</v>
      </c>
      <c r="F176" s="289">
        <f t="shared" si="9"/>
        <v>0</v>
      </c>
      <c r="G176" s="289">
        <f t="shared" si="9"/>
        <v>0</v>
      </c>
      <c r="H176" s="289">
        <f t="shared" si="9"/>
        <v>0</v>
      </c>
      <c r="I176" s="289">
        <f t="shared" si="9"/>
        <v>0</v>
      </c>
      <c r="J176" s="289">
        <f>E176+F176+G176+H176+I176</f>
        <v>8071</v>
      </c>
      <c r="K176" s="21"/>
      <c r="L176" s="327"/>
    </row>
    <row r="177" spans="1:10">
      <c r="A177" s="268"/>
      <c r="B177" s="252"/>
      <c r="C177" s="252"/>
      <c r="D177" s="252"/>
      <c r="E177" s="290"/>
      <c r="F177" s="290"/>
      <c r="G177" s="290"/>
      <c r="H177" s="290"/>
      <c r="I177" s="290"/>
      <c r="J177" s="268"/>
    </row>
    <row r="178" spans="1:10">
      <c r="A178" s="268"/>
      <c r="B178" s="252"/>
      <c r="C178" s="252"/>
      <c r="D178" s="252"/>
      <c r="E178" s="290"/>
      <c r="F178" s="290"/>
      <c r="G178" s="290"/>
      <c r="H178" s="185" t="s">
        <v>85</v>
      </c>
      <c r="I178" s="185"/>
      <c r="J178" s="307">
        <f>J165-J176</f>
        <v>18081.5</v>
      </c>
    </row>
    <row r="179" spans="1:10">
      <c r="A179" s="268"/>
      <c r="B179" s="252"/>
      <c r="C179" s="252"/>
      <c r="D179" s="252"/>
      <c r="E179" s="290"/>
      <c r="F179" s="290"/>
      <c r="G179" s="290"/>
      <c r="H179" s="290"/>
      <c r="I179" s="290"/>
      <c r="J179" s="268"/>
    </row>
    <row r="180" spans="1:11">
      <c r="A180" s="268"/>
      <c r="B180" s="198" t="s">
        <v>86</v>
      </c>
      <c r="C180" s="198"/>
      <c r="D180" s="199"/>
      <c r="E180" s="198" t="s">
        <v>87</v>
      </c>
      <c r="F180" s="198"/>
      <c r="G180" s="198"/>
      <c r="H180" s="198"/>
      <c r="I180" s="199"/>
      <c r="J180" s="198" t="s">
        <v>88</v>
      </c>
      <c r="K180" s="198"/>
    </row>
    <row r="181" spans="1:9">
      <c r="A181" s="268"/>
      <c r="C181" s="200"/>
      <c r="D181" s="200"/>
      <c r="E181" s="200"/>
      <c r="F181" s="200"/>
      <c r="G181" s="200"/>
      <c r="H181" s="200"/>
      <c r="I181" s="200"/>
    </row>
    <row r="182" spans="1:12">
      <c r="A182" s="268"/>
      <c r="B182" s="269" t="s">
        <v>17</v>
      </c>
      <c r="C182" s="269"/>
      <c r="D182" s="269"/>
      <c r="E182" s="291" t="s">
        <v>22</v>
      </c>
      <c r="F182" s="291"/>
      <c r="G182" s="291"/>
      <c r="H182" s="291"/>
      <c r="J182" s="308" t="s">
        <v>19</v>
      </c>
      <c r="K182" s="308"/>
      <c r="L182" s="308"/>
    </row>
    <row r="183" spans="1:11">
      <c r="A183" s="268"/>
      <c r="B183" s="198" t="s">
        <v>89</v>
      </c>
      <c r="C183" s="198"/>
      <c r="D183" s="199"/>
      <c r="E183" s="198" t="s">
        <v>90</v>
      </c>
      <c r="F183" s="198"/>
      <c r="G183" s="198"/>
      <c r="H183" s="198"/>
      <c r="J183" s="198" t="s">
        <v>91</v>
      </c>
      <c r="K183" s="198"/>
    </row>
    <row r="184" spans="1:10">
      <c r="A184" s="268"/>
      <c r="B184" s="252"/>
      <c r="C184" s="252"/>
      <c r="D184" s="252"/>
      <c r="E184" s="290"/>
      <c r="F184" s="290"/>
      <c r="G184" s="290"/>
      <c r="H184" s="290"/>
      <c r="I184" s="290"/>
      <c r="J184" s="268"/>
    </row>
    <row r="194" spans="1:12">
      <c r="A194" s="270"/>
      <c r="B194" s="270"/>
      <c r="C194" s="270"/>
      <c r="D194" s="270"/>
      <c r="E194" s="270"/>
      <c r="F194" s="270"/>
      <c r="G194" s="270"/>
      <c r="H194" s="270"/>
      <c r="I194" s="270"/>
      <c r="J194" s="270"/>
      <c r="K194" s="270"/>
      <c r="L194" s="270"/>
    </row>
    <row r="195" spans="3:12">
      <c r="C195" s="240"/>
      <c r="D195" s="165" t="s">
        <v>44</v>
      </c>
      <c r="E195" s="33"/>
      <c r="F195" s="33"/>
      <c r="G195" s="33"/>
      <c r="H195" s="33"/>
      <c r="I195" s="33"/>
      <c r="J195" s="33"/>
      <c r="K195" s="292"/>
      <c r="L195" s="292"/>
    </row>
    <row r="196" spans="7:10">
      <c r="G196" s="198"/>
      <c r="H196" s="198"/>
      <c r="I196" s="198"/>
      <c r="J196" s="198"/>
    </row>
    <row r="197" ht="13.9" spans="2:11">
      <c r="B197" s="241" t="s">
        <v>189</v>
      </c>
      <c r="C197" s="241"/>
      <c r="D197" s="241"/>
      <c r="E197" s="241"/>
      <c r="F197" s="241"/>
      <c r="G197" s="241"/>
      <c r="H197" s="241"/>
      <c r="I197" s="241"/>
      <c r="J197" s="241"/>
      <c r="K197" s="241"/>
    </row>
    <row r="198" ht="14.45" spans="2:10">
      <c r="B198" s="242" t="s">
        <v>46</v>
      </c>
      <c r="C198" s="243">
        <v>300</v>
      </c>
      <c r="D198" s="242"/>
      <c r="E198" s="271" t="s">
        <v>47</v>
      </c>
      <c r="F198" s="242"/>
      <c r="G198" s="272">
        <v>50</v>
      </c>
      <c r="H198" s="272"/>
      <c r="I198" s="198" t="s">
        <v>48</v>
      </c>
      <c r="J198" s="198">
        <v>16</v>
      </c>
    </row>
    <row r="199" ht="14.45" spans="2:10">
      <c r="B199" s="242"/>
      <c r="C199" s="243"/>
      <c r="D199" s="242"/>
      <c r="E199" s="271"/>
      <c r="F199" s="242"/>
      <c r="G199" s="272"/>
      <c r="H199" s="272"/>
      <c r="I199" s="198"/>
      <c r="J199" s="198"/>
    </row>
    <row r="200" ht="13.9" spans="5:11">
      <c r="E200" s="254" t="s">
        <v>49</v>
      </c>
      <c r="F200" s="254"/>
      <c r="G200" s="254"/>
      <c r="H200" s="254"/>
      <c r="I200" s="254"/>
      <c r="J200" s="293"/>
      <c r="K200" s="293"/>
    </row>
    <row r="201" spans="1:12">
      <c r="A201" s="309" t="s">
        <v>51</v>
      </c>
      <c r="B201" s="186" t="s">
        <v>52</v>
      </c>
      <c r="C201" s="186"/>
      <c r="D201" s="186"/>
      <c r="E201" s="174" t="s">
        <v>53</v>
      </c>
      <c r="F201" s="317" t="s">
        <v>54</v>
      </c>
      <c r="G201" s="318" t="s">
        <v>55</v>
      </c>
      <c r="H201" s="318" t="s">
        <v>56</v>
      </c>
      <c r="I201" s="320" t="s">
        <v>57</v>
      </c>
      <c r="J201" s="174" t="s">
        <v>58</v>
      </c>
      <c r="K201" s="174" t="s">
        <v>59</v>
      </c>
      <c r="L201" s="174" t="s">
        <v>60</v>
      </c>
    </row>
    <row r="202" spans="1:12">
      <c r="A202" s="310" t="s">
        <v>190</v>
      </c>
      <c r="B202" s="311" t="s">
        <v>191</v>
      </c>
      <c r="C202" s="312"/>
      <c r="D202" s="313"/>
      <c r="E202" s="319">
        <v>1425</v>
      </c>
      <c r="F202" s="319">
        <v>250</v>
      </c>
      <c r="G202" s="319"/>
      <c r="H202" s="319">
        <v>75</v>
      </c>
      <c r="I202" s="319">
        <v>50</v>
      </c>
      <c r="J202" s="307">
        <f t="shared" ref="J202:J204" si="10">SUM(E202+F202+G202+H202+I202)</f>
        <v>1800</v>
      </c>
      <c r="K202" s="321">
        <v>46111</v>
      </c>
      <c r="L202" s="346" t="s">
        <v>192</v>
      </c>
    </row>
    <row r="203" spans="1:12">
      <c r="A203" s="310" t="s">
        <v>193</v>
      </c>
      <c r="B203" s="311" t="s">
        <v>194</v>
      </c>
      <c r="C203" s="312"/>
      <c r="D203" s="313"/>
      <c r="E203" s="319">
        <v>285</v>
      </c>
      <c r="F203" s="319">
        <v>50</v>
      </c>
      <c r="G203" s="319"/>
      <c r="H203" s="319">
        <v>15</v>
      </c>
      <c r="I203" s="319">
        <v>0</v>
      </c>
      <c r="J203" s="307">
        <f t="shared" si="10"/>
        <v>350</v>
      </c>
      <c r="K203" s="321">
        <v>46125</v>
      </c>
      <c r="L203" s="322" t="s">
        <v>195</v>
      </c>
    </row>
    <row r="204" spans="1:12">
      <c r="A204" s="310" t="s">
        <v>196</v>
      </c>
      <c r="B204" s="311" t="s">
        <v>197</v>
      </c>
      <c r="C204" s="312"/>
      <c r="D204" s="313"/>
      <c r="E204" s="319">
        <v>285</v>
      </c>
      <c r="F204" s="319">
        <v>50</v>
      </c>
      <c r="G204" s="319"/>
      <c r="H204" s="319">
        <v>15</v>
      </c>
      <c r="I204" s="319"/>
      <c r="J204" s="307">
        <f t="shared" si="10"/>
        <v>350</v>
      </c>
      <c r="K204" s="321">
        <v>46127</v>
      </c>
      <c r="L204" s="322" t="s">
        <v>195</v>
      </c>
    </row>
    <row r="205" spans="1:14">
      <c r="A205" s="310" t="s">
        <v>198</v>
      </c>
      <c r="B205" s="311" t="s">
        <v>199</v>
      </c>
      <c r="C205" s="312"/>
      <c r="D205" s="313"/>
      <c r="E205" s="319">
        <v>285</v>
      </c>
      <c r="F205" s="319">
        <v>50</v>
      </c>
      <c r="G205" s="319"/>
      <c r="H205" s="319">
        <v>15</v>
      </c>
      <c r="I205" s="319"/>
      <c r="J205" s="307">
        <f t="shared" ref="J205:J217" si="11">SUM(E205+F205+G205+H205+I205)</f>
        <v>350</v>
      </c>
      <c r="K205" s="321">
        <v>46129</v>
      </c>
      <c r="L205" s="324" t="s">
        <v>200</v>
      </c>
      <c r="N205" t="s">
        <v>147</v>
      </c>
    </row>
    <row r="206" spans="1:12">
      <c r="A206" s="310" t="s">
        <v>201</v>
      </c>
      <c r="B206" s="311" t="s">
        <v>202</v>
      </c>
      <c r="C206" s="312"/>
      <c r="D206" s="313"/>
      <c r="E206" s="319">
        <v>285</v>
      </c>
      <c r="F206" s="319">
        <v>50</v>
      </c>
      <c r="G206" s="319"/>
      <c r="H206" s="319">
        <v>15</v>
      </c>
      <c r="I206" s="319"/>
      <c r="J206" s="307">
        <f t="shared" si="11"/>
        <v>350</v>
      </c>
      <c r="K206" s="321">
        <v>46130</v>
      </c>
      <c r="L206" s="322" t="s">
        <v>203</v>
      </c>
    </row>
    <row r="207" spans="1:12">
      <c r="A207" s="310" t="s">
        <v>204</v>
      </c>
      <c r="B207" s="311" t="s">
        <v>205</v>
      </c>
      <c r="C207" s="312"/>
      <c r="D207" s="313"/>
      <c r="E207" s="319">
        <v>855</v>
      </c>
      <c r="F207" s="319">
        <v>150</v>
      </c>
      <c r="G207" s="319"/>
      <c r="H207" s="319">
        <v>45</v>
      </c>
      <c r="I207" s="319"/>
      <c r="J207" s="307">
        <f t="shared" si="11"/>
        <v>1050</v>
      </c>
      <c r="K207" s="321">
        <v>46130</v>
      </c>
      <c r="L207" s="322" t="s">
        <v>206</v>
      </c>
    </row>
    <row r="208" spans="1:12">
      <c r="A208" s="310" t="s">
        <v>207</v>
      </c>
      <c r="B208" s="311" t="s">
        <v>208</v>
      </c>
      <c r="C208" s="312"/>
      <c r="D208" s="313"/>
      <c r="E208" s="319">
        <v>285</v>
      </c>
      <c r="F208" s="319">
        <v>50</v>
      </c>
      <c r="G208" s="319"/>
      <c r="H208" s="319">
        <v>15</v>
      </c>
      <c r="I208" s="319"/>
      <c r="J208" s="307">
        <f t="shared" si="11"/>
        <v>350</v>
      </c>
      <c r="K208" s="321">
        <v>46133</v>
      </c>
      <c r="L208" s="322" t="s">
        <v>203</v>
      </c>
    </row>
    <row r="209" spans="1:12">
      <c r="A209" s="310" t="s">
        <v>209</v>
      </c>
      <c r="B209" s="311" t="s">
        <v>210</v>
      </c>
      <c r="C209" s="312"/>
      <c r="D209" s="313"/>
      <c r="E209" s="319">
        <v>285</v>
      </c>
      <c r="F209" s="319">
        <v>50</v>
      </c>
      <c r="G209" s="319"/>
      <c r="H209" s="319">
        <v>15</v>
      </c>
      <c r="I209" s="319"/>
      <c r="J209" s="307">
        <f t="shared" si="11"/>
        <v>350</v>
      </c>
      <c r="K209" s="321">
        <v>46133</v>
      </c>
      <c r="L209" s="322" t="s">
        <v>203</v>
      </c>
    </row>
    <row r="210" spans="1:12">
      <c r="A210" s="310"/>
      <c r="B210" s="311" t="s">
        <v>62</v>
      </c>
      <c r="C210" s="312"/>
      <c r="D210" s="313"/>
      <c r="E210" s="319"/>
      <c r="F210" s="319"/>
      <c r="G210" s="319">
        <v>120</v>
      </c>
      <c r="H210" s="319"/>
      <c r="I210" s="319"/>
      <c r="J210" s="307">
        <f t="shared" si="11"/>
        <v>120</v>
      </c>
      <c r="K210" s="321">
        <v>46112</v>
      </c>
      <c r="L210" s="322"/>
    </row>
    <row r="211" spans="1:12">
      <c r="A211" s="310"/>
      <c r="B211" s="311" t="s">
        <v>62</v>
      </c>
      <c r="C211" s="312"/>
      <c r="D211" s="313"/>
      <c r="E211" s="319"/>
      <c r="F211" s="319"/>
      <c r="G211" s="319">
        <v>120</v>
      </c>
      <c r="H211" s="319"/>
      <c r="I211" s="319"/>
      <c r="J211" s="307">
        <f t="shared" si="11"/>
        <v>120</v>
      </c>
      <c r="K211" s="321">
        <v>46119</v>
      </c>
      <c r="L211" s="322"/>
    </row>
    <row r="212" spans="1:16">
      <c r="A212" s="310"/>
      <c r="B212" s="311" t="s">
        <v>62</v>
      </c>
      <c r="C212" s="312"/>
      <c r="D212" s="313"/>
      <c r="E212" s="319"/>
      <c r="F212" s="319"/>
      <c r="G212" s="319">
        <v>120</v>
      </c>
      <c r="H212" s="319"/>
      <c r="I212" s="319"/>
      <c r="J212" s="307">
        <f t="shared" si="11"/>
        <v>120</v>
      </c>
      <c r="K212" s="321">
        <v>46126</v>
      </c>
      <c r="L212" s="322"/>
      <c r="N212" s="15" t="s">
        <v>116</v>
      </c>
      <c r="O212" s="173">
        <v>350</v>
      </c>
      <c r="P212" s="173">
        <v>400</v>
      </c>
    </row>
    <row r="213" spans="1:16">
      <c r="A213" s="310"/>
      <c r="B213" s="311" t="s">
        <v>62</v>
      </c>
      <c r="C213" s="312"/>
      <c r="D213" s="313"/>
      <c r="E213" s="319"/>
      <c r="F213" s="319"/>
      <c r="G213" s="319">
        <v>120</v>
      </c>
      <c r="H213" s="319"/>
      <c r="I213" s="319"/>
      <c r="J213" s="307">
        <f t="shared" si="11"/>
        <v>120</v>
      </c>
      <c r="K213" s="321">
        <v>46133</v>
      </c>
      <c r="L213" s="322"/>
      <c r="N213" s="21">
        <v>1</v>
      </c>
      <c r="O213" s="287">
        <v>285</v>
      </c>
      <c r="P213" s="287">
        <v>335</v>
      </c>
    </row>
    <row r="214" spans="1:16">
      <c r="A214" s="310"/>
      <c r="B214" s="342" t="s">
        <v>211</v>
      </c>
      <c r="C214" s="343"/>
      <c r="D214" s="344"/>
      <c r="E214" s="345"/>
      <c r="F214" s="345"/>
      <c r="G214" s="345">
        <v>500</v>
      </c>
      <c r="H214" s="345"/>
      <c r="I214" s="345"/>
      <c r="J214" s="307">
        <f t="shared" si="11"/>
        <v>500</v>
      </c>
      <c r="K214" s="321">
        <v>46133</v>
      </c>
      <c r="L214" s="324" t="s">
        <v>212</v>
      </c>
      <c r="N214" s="21">
        <v>2</v>
      </c>
      <c r="O214" s="287">
        <f>285*2</f>
        <v>570</v>
      </c>
      <c r="P214" s="287">
        <v>670</v>
      </c>
    </row>
    <row r="215" spans="1:16">
      <c r="A215" s="310" t="s">
        <v>213</v>
      </c>
      <c r="B215" s="311" t="s">
        <v>214</v>
      </c>
      <c r="C215" s="312"/>
      <c r="D215" s="313"/>
      <c r="E215" s="319">
        <v>285</v>
      </c>
      <c r="F215" s="319">
        <v>50</v>
      </c>
      <c r="G215" s="319"/>
      <c r="H215" s="319">
        <v>15</v>
      </c>
      <c r="I215" s="319"/>
      <c r="J215" s="307">
        <f t="shared" si="11"/>
        <v>350</v>
      </c>
      <c r="K215" s="321">
        <v>46140</v>
      </c>
      <c r="L215" s="322" t="s">
        <v>215</v>
      </c>
      <c r="N215" s="21">
        <v>3</v>
      </c>
      <c r="O215" s="287">
        <f>285*3</f>
        <v>855</v>
      </c>
      <c r="P215" s="287">
        <v>1005</v>
      </c>
    </row>
    <row r="216" spans="1:16">
      <c r="A216" s="310"/>
      <c r="B216" s="311" t="s">
        <v>62</v>
      </c>
      <c r="C216" s="312"/>
      <c r="D216" s="313"/>
      <c r="E216" s="319"/>
      <c r="F216" s="319"/>
      <c r="G216" s="319">
        <v>120</v>
      </c>
      <c r="H216" s="319"/>
      <c r="I216" s="319"/>
      <c r="J216" s="307">
        <f t="shared" si="11"/>
        <v>120</v>
      </c>
      <c r="K216" s="321">
        <v>46140</v>
      </c>
      <c r="L216" s="323"/>
      <c r="N216" s="21">
        <v>4</v>
      </c>
      <c r="O216" s="287">
        <f>285*4</f>
        <v>1140</v>
      </c>
      <c r="P216" s="287">
        <v>1340</v>
      </c>
    </row>
    <row r="217" spans="1:16">
      <c r="A217" s="310"/>
      <c r="B217" s="314"/>
      <c r="C217" s="314"/>
      <c r="D217" s="314"/>
      <c r="E217" s="185">
        <f t="shared" ref="E217:I217" si="12">SUM(E202:E216)</f>
        <v>4275</v>
      </c>
      <c r="F217" s="185">
        <f t="shared" si="12"/>
        <v>750</v>
      </c>
      <c r="G217" s="185">
        <f t="shared" si="12"/>
        <v>1100</v>
      </c>
      <c r="H217" s="185">
        <f t="shared" si="12"/>
        <v>225</v>
      </c>
      <c r="I217" s="185">
        <f t="shared" si="12"/>
        <v>50</v>
      </c>
      <c r="J217" s="307">
        <f t="shared" si="11"/>
        <v>6400</v>
      </c>
      <c r="K217" s="21"/>
      <c r="L217" s="322"/>
      <c r="N217" s="21">
        <v>6</v>
      </c>
      <c r="O217" s="287">
        <f>285*6</f>
        <v>1710</v>
      </c>
      <c r="P217" s="287">
        <v>2010</v>
      </c>
    </row>
    <row r="218" spans="1:14">
      <c r="A218" s="251"/>
      <c r="B218" s="252"/>
      <c r="C218" s="252"/>
      <c r="D218" s="252"/>
      <c r="E218" s="279"/>
      <c r="F218" s="279"/>
      <c r="G218" s="280"/>
      <c r="H218" s="280"/>
      <c r="I218" s="280"/>
      <c r="J218" s="301"/>
      <c r="N218" t="s">
        <v>21</v>
      </c>
    </row>
    <row r="219" spans="1:10">
      <c r="A219" s="253"/>
      <c r="B219" s="252"/>
      <c r="C219" s="252"/>
      <c r="D219" s="252"/>
      <c r="E219" s="280"/>
      <c r="F219" s="280"/>
      <c r="G219" s="281"/>
      <c r="H219" s="281"/>
      <c r="I219" s="281"/>
      <c r="J219" s="268"/>
    </row>
    <row r="220" ht="13.9" spans="3:9">
      <c r="C220" s="254" t="s">
        <v>75</v>
      </c>
      <c r="D220" s="254"/>
      <c r="E220" s="254"/>
      <c r="F220" s="254"/>
      <c r="G220" s="254"/>
      <c r="H220" s="254"/>
      <c r="I220" s="254"/>
    </row>
    <row r="221" spans="1:12">
      <c r="A221" s="255" t="s">
        <v>76</v>
      </c>
      <c r="B221" s="256" t="s">
        <v>77</v>
      </c>
      <c r="C221" s="257"/>
      <c r="D221" s="257"/>
      <c r="E221" s="15" t="s">
        <v>78</v>
      </c>
      <c r="F221" s="15"/>
      <c r="G221" s="15"/>
      <c r="H221" s="15"/>
      <c r="I221" s="15"/>
      <c r="J221" s="15"/>
      <c r="K221" s="255" t="s">
        <v>59</v>
      </c>
      <c r="L221" s="302" t="s">
        <v>79</v>
      </c>
    </row>
    <row r="222" spans="1:12">
      <c r="A222" s="258"/>
      <c r="B222" s="259"/>
      <c r="C222" s="260"/>
      <c r="D222" s="260"/>
      <c r="E222" s="15" t="s">
        <v>53</v>
      </c>
      <c r="F222" s="15" t="s">
        <v>80</v>
      </c>
      <c r="G222" s="282" t="s">
        <v>81</v>
      </c>
      <c r="H222" s="23" t="s">
        <v>56</v>
      </c>
      <c r="I222" s="282" t="s">
        <v>82</v>
      </c>
      <c r="J222" s="174" t="s">
        <v>58</v>
      </c>
      <c r="K222" s="258"/>
      <c r="L222" s="303"/>
    </row>
    <row r="223" spans="1:12">
      <c r="A223" s="261">
        <v>1</v>
      </c>
      <c r="B223" s="315" t="s">
        <v>216</v>
      </c>
      <c r="C223" s="316"/>
      <c r="D223" s="316"/>
      <c r="E223" s="285" t="s">
        <v>21</v>
      </c>
      <c r="F223" s="285"/>
      <c r="G223" s="285">
        <v>1500</v>
      </c>
      <c r="H223" s="286"/>
      <c r="I223" s="288"/>
      <c r="J223" s="287"/>
      <c r="K223" s="325" t="s">
        <v>21</v>
      </c>
      <c r="L223" s="326" t="s">
        <v>21</v>
      </c>
    </row>
    <row r="224" spans="1:12">
      <c r="A224" s="261">
        <v>2</v>
      </c>
      <c r="B224" s="315" t="s">
        <v>217</v>
      </c>
      <c r="C224" s="316"/>
      <c r="D224" s="316"/>
      <c r="E224" s="285" t="s">
        <v>21</v>
      </c>
      <c r="F224" s="285"/>
      <c r="G224" s="285">
        <v>500</v>
      </c>
      <c r="H224" s="286"/>
      <c r="I224" s="288"/>
      <c r="J224" s="21"/>
      <c r="K224" s="21"/>
      <c r="L224" s="327" t="s">
        <v>21</v>
      </c>
    </row>
    <row r="225" spans="1:12">
      <c r="A225" s="261">
        <v>3</v>
      </c>
      <c r="B225" s="315" t="s">
        <v>218</v>
      </c>
      <c r="C225" s="316"/>
      <c r="D225" s="316"/>
      <c r="E225" s="285">
        <v>4188</v>
      </c>
      <c r="F225" s="285"/>
      <c r="G225" s="285"/>
      <c r="H225" s="286"/>
      <c r="I225" s="288"/>
      <c r="J225" s="21"/>
      <c r="K225" s="21"/>
      <c r="L225" s="327"/>
    </row>
    <row r="226" spans="1:12">
      <c r="A226" s="261">
        <v>4</v>
      </c>
      <c r="B226" s="315" t="s">
        <v>219</v>
      </c>
      <c r="C226" s="316"/>
      <c r="D226" s="316"/>
      <c r="E226" s="285" t="s">
        <v>21</v>
      </c>
      <c r="F226" s="285"/>
      <c r="G226" s="285"/>
      <c r="H226" s="286">
        <v>519</v>
      </c>
      <c r="I226" s="288"/>
      <c r="J226" s="21"/>
      <c r="K226" s="21"/>
      <c r="L226" s="327"/>
    </row>
    <row r="227" spans="1:12">
      <c r="A227" s="261">
        <v>5</v>
      </c>
      <c r="B227" s="315" t="s">
        <v>220</v>
      </c>
      <c r="C227" s="316"/>
      <c r="D227" s="316"/>
      <c r="E227" s="285">
        <v>826</v>
      </c>
      <c r="F227" s="285"/>
      <c r="G227" s="287"/>
      <c r="H227" s="288"/>
      <c r="I227" s="288"/>
      <c r="J227" s="21"/>
      <c r="K227" s="21"/>
      <c r="L227" s="327"/>
    </row>
    <row r="228" spans="1:12">
      <c r="A228" s="21"/>
      <c r="B228" s="266"/>
      <c r="C228" s="267"/>
      <c r="D228" s="267"/>
      <c r="E228" s="289">
        <f t="shared" ref="E228:I228" si="13">SUM(E223:E227)</f>
        <v>5014</v>
      </c>
      <c r="F228" s="289">
        <f t="shared" si="13"/>
        <v>0</v>
      </c>
      <c r="G228" s="289">
        <f t="shared" si="13"/>
        <v>2000</v>
      </c>
      <c r="H228" s="289">
        <f t="shared" si="13"/>
        <v>519</v>
      </c>
      <c r="I228" s="289">
        <f t="shared" si="13"/>
        <v>0</v>
      </c>
      <c r="J228" s="289">
        <f>E228+F228+G228+H228+I228</f>
        <v>7533</v>
      </c>
      <c r="K228" s="21"/>
      <c r="L228" s="327"/>
    </row>
    <row r="229" spans="1:10">
      <c r="A229" s="268"/>
      <c r="B229" s="252"/>
      <c r="C229" s="252"/>
      <c r="D229" s="252"/>
      <c r="E229" s="290"/>
      <c r="F229" s="290"/>
      <c r="G229" s="290"/>
      <c r="H229" s="290"/>
      <c r="I229" s="290"/>
      <c r="J229" s="268"/>
    </row>
    <row r="230" spans="1:10">
      <c r="A230" s="268"/>
      <c r="B230" s="252"/>
      <c r="C230" s="252"/>
      <c r="D230" s="252"/>
      <c r="E230" s="290"/>
      <c r="F230" s="290"/>
      <c r="G230" s="290"/>
      <c r="H230" s="185" t="s">
        <v>85</v>
      </c>
      <c r="I230" s="185"/>
      <c r="J230" s="347">
        <f>J217-J228</f>
        <v>-1133</v>
      </c>
    </row>
    <row r="231" spans="1:10">
      <c r="A231" s="268"/>
      <c r="B231" s="252"/>
      <c r="C231" s="252"/>
      <c r="D231" s="252"/>
      <c r="E231" s="290"/>
      <c r="F231" s="290"/>
      <c r="G231" s="290"/>
      <c r="H231" s="290"/>
      <c r="I231" s="290"/>
      <c r="J231" s="268"/>
    </row>
    <row r="232" spans="1:11">
      <c r="A232" s="268"/>
      <c r="B232" s="198" t="s">
        <v>86</v>
      </c>
      <c r="C232" s="198"/>
      <c r="D232" s="199"/>
      <c r="E232" s="198" t="s">
        <v>87</v>
      </c>
      <c r="F232" s="198"/>
      <c r="G232" s="198"/>
      <c r="H232" s="198"/>
      <c r="I232" s="199"/>
      <c r="J232" s="198" t="s">
        <v>88</v>
      </c>
      <c r="K232" s="198"/>
    </row>
    <row r="233" spans="1:9">
      <c r="A233" s="268"/>
      <c r="C233" s="200"/>
      <c r="D233" s="200"/>
      <c r="E233" s="200"/>
      <c r="F233" s="200"/>
      <c r="G233" s="200"/>
      <c r="H233" s="200"/>
      <c r="I233" s="200"/>
    </row>
    <row r="234" spans="1:12">
      <c r="A234" s="268"/>
      <c r="B234" s="269" t="s">
        <v>17</v>
      </c>
      <c r="C234" s="269"/>
      <c r="D234" s="269"/>
      <c r="E234" s="291" t="s">
        <v>22</v>
      </c>
      <c r="F234" s="291"/>
      <c r="G234" s="291"/>
      <c r="H234" s="291"/>
      <c r="J234" s="308" t="s">
        <v>19</v>
      </c>
      <c r="K234" s="308"/>
      <c r="L234" s="308"/>
    </row>
    <row r="235" spans="1:11">
      <c r="A235" s="268"/>
      <c r="B235" s="198" t="s">
        <v>89</v>
      </c>
      <c r="C235" s="198"/>
      <c r="D235" s="199"/>
      <c r="E235" s="198" t="s">
        <v>90</v>
      </c>
      <c r="F235" s="198"/>
      <c r="G235" s="198"/>
      <c r="H235" s="198"/>
      <c r="J235" s="198" t="s">
        <v>91</v>
      </c>
      <c r="K235" s="198"/>
    </row>
    <row r="236" spans="1:10">
      <c r="A236" s="268"/>
      <c r="B236" s="252"/>
      <c r="C236" s="252"/>
      <c r="D236" s="252"/>
      <c r="E236" s="290"/>
      <c r="F236" s="290"/>
      <c r="G236" s="290"/>
      <c r="H236" s="290"/>
      <c r="I236" s="290"/>
      <c r="J236" s="268"/>
    </row>
    <row r="240" spans="1:12">
      <c r="A240" s="270"/>
      <c r="B240" s="270"/>
      <c r="C240" s="270"/>
      <c r="D240" s="270"/>
      <c r="E240" s="270"/>
      <c r="F240" s="270"/>
      <c r="G240" s="270"/>
      <c r="H240" s="270"/>
      <c r="I240" s="270"/>
      <c r="J240" s="270"/>
      <c r="K240" s="270"/>
      <c r="L240" s="270"/>
    </row>
    <row r="241" spans="3:12">
      <c r="C241" s="240"/>
      <c r="D241" s="165" t="s">
        <v>44</v>
      </c>
      <c r="E241" s="33"/>
      <c r="F241" s="33"/>
      <c r="G241" s="33"/>
      <c r="H241" s="33"/>
      <c r="I241" s="33"/>
      <c r="J241" s="33"/>
      <c r="K241" s="292"/>
      <c r="L241" s="292"/>
    </row>
    <row r="242" spans="7:10">
      <c r="G242" s="198"/>
      <c r="H242" s="198"/>
      <c r="I242" s="198"/>
      <c r="J242" s="198"/>
    </row>
    <row r="243" ht="13.9" spans="2:11">
      <c r="B243" s="241" t="s">
        <v>221</v>
      </c>
      <c r="C243" s="241"/>
      <c r="D243" s="241"/>
      <c r="E243" s="241"/>
      <c r="F243" s="241"/>
      <c r="G243" s="241"/>
      <c r="H243" s="241"/>
      <c r="I243" s="241"/>
      <c r="J243" s="241"/>
      <c r="K243" s="241"/>
    </row>
    <row r="244" ht="14.45" spans="2:10">
      <c r="B244" s="242" t="s">
        <v>46</v>
      </c>
      <c r="C244" s="243">
        <v>300</v>
      </c>
      <c r="D244" s="242"/>
      <c r="E244" s="271" t="s">
        <v>47</v>
      </c>
      <c r="F244" s="242"/>
      <c r="G244" s="272">
        <v>50</v>
      </c>
      <c r="H244" s="272"/>
      <c r="I244" s="198" t="s">
        <v>48</v>
      </c>
      <c r="J244" s="198">
        <v>15</v>
      </c>
    </row>
    <row r="245" ht="14.45" spans="2:10">
      <c r="B245" s="242"/>
      <c r="C245" s="243"/>
      <c r="D245" s="242"/>
      <c r="E245" s="271"/>
      <c r="F245" s="242"/>
      <c r="G245" s="272"/>
      <c r="H245" s="272"/>
      <c r="I245" s="198"/>
      <c r="J245" s="198"/>
    </row>
    <row r="246" ht="13.9" spans="5:11">
      <c r="E246" s="254" t="s">
        <v>49</v>
      </c>
      <c r="F246" s="254"/>
      <c r="G246" s="254"/>
      <c r="H246" s="254"/>
      <c r="I246" s="254"/>
      <c r="J246" s="293"/>
      <c r="K246" s="293"/>
    </row>
    <row r="247" spans="1:12">
      <c r="A247" s="244" t="s">
        <v>51</v>
      </c>
      <c r="B247" s="245" t="s">
        <v>52</v>
      </c>
      <c r="C247" s="245"/>
      <c r="D247" s="245"/>
      <c r="E247" s="273" t="s">
        <v>53</v>
      </c>
      <c r="F247" s="274" t="s">
        <v>54</v>
      </c>
      <c r="G247" s="275" t="s">
        <v>55</v>
      </c>
      <c r="H247" s="275" t="s">
        <v>56</v>
      </c>
      <c r="I247" s="294" t="s">
        <v>57</v>
      </c>
      <c r="J247" s="273" t="s">
        <v>58</v>
      </c>
      <c r="K247" s="273" t="s">
        <v>59</v>
      </c>
      <c r="L247" s="273" t="s">
        <v>60</v>
      </c>
    </row>
    <row r="248" spans="1:16">
      <c r="A248" s="246" t="s">
        <v>222</v>
      </c>
      <c r="B248" s="247" t="s">
        <v>223</v>
      </c>
      <c r="C248" s="248"/>
      <c r="D248" s="249"/>
      <c r="E248" s="336">
        <v>570</v>
      </c>
      <c r="F248" s="336">
        <v>100</v>
      </c>
      <c r="G248" s="336"/>
      <c r="H248" s="336">
        <v>30</v>
      </c>
      <c r="I248" s="336"/>
      <c r="J248" s="295">
        <f t="shared" ref="J248:J255" si="14">SUM(E248+F248+G248+H248+I248)</f>
        <v>700</v>
      </c>
      <c r="K248" s="296">
        <v>46147</v>
      </c>
      <c r="L248" s="348"/>
      <c r="N248" s="15" t="s">
        <v>116</v>
      </c>
      <c r="O248" s="173">
        <v>350</v>
      </c>
      <c r="P248" s="173">
        <v>400</v>
      </c>
    </row>
    <row r="249" spans="1:16">
      <c r="A249" s="246" t="s">
        <v>224</v>
      </c>
      <c r="B249" s="247" t="s">
        <v>225</v>
      </c>
      <c r="C249" s="248"/>
      <c r="D249" s="249"/>
      <c r="E249" s="336">
        <v>285</v>
      </c>
      <c r="F249" s="336">
        <v>50</v>
      </c>
      <c r="G249" s="336"/>
      <c r="H249" s="336">
        <v>15</v>
      </c>
      <c r="I249" s="336"/>
      <c r="J249" s="295">
        <f t="shared" si="14"/>
        <v>350</v>
      </c>
      <c r="K249" s="296">
        <v>46147</v>
      </c>
      <c r="L249" s="297"/>
      <c r="N249" s="21">
        <v>1</v>
      </c>
      <c r="O249" s="287">
        <v>285</v>
      </c>
      <c r="P249" s="287">
        <v>335</v>
      </c>
    </row>
    <row r="250" spans="1:16">
      <c r="A250" s="246" t="s">
        <v>226</v>
      </c>
      <c r="B250" s="247" t="s">
        <v>227</v>
      </c>
      <c r="C250" s="248"/>
      <c r="D250" s="249"/>
      <c r="E250" s="336">
        <v>570</v>
      </c>
      <c r="F250" s="336">
        <v>100</v>
      </c>
      <c r="G250" s="336"/>
      <c r="H250" s="336">
        <v>30</v>
      </c>
      <c r="I250" s="336"/>
      <c r="J250" s="295">
        <f t="shared" si="14"/>
        <v>700</v>
      </c>
      <c r="K250" s="296">
        <v>46147</v>
      </c>
      <c r="L250" s="297"/>
      <c r="N250" s="21">
        <v>2</v>
      </c>
      <c r="O250" s="287">
        <f>285*2</f>
        <v>570</v>
      </c>
      <c r="P250" s="287">
        <v>670</v>
      </c>
    </row>
    <row r="251" spans="1:16">
      <c r="A251" s="246"/>
      <c r="B251" s="247" t="s">
        <v>228</v>
      </c>
      <c r="C251" s="248"/>
      <c r="D251" s="249"/>
      <c r="E251" s="336"/>
      <c r="F251" s="336"/>
      <c r="G251" s="336">
        <v>195</v>
      </c>
      <c r="H251" s="336"/>
      <c r="I251" s="336"/>
      <c r="J251" s="295">
        <f t="shared" si="14"/>
        <v>195</v>
      </c>
      <c r="K251" s="296">
        <v>46147</v>
      </c>
      <c r="L251" s="298"/>
      <c r="N251" s="21">
        <v>3</v>
      </c>
      <c r="O251" s="287">
        <f>285*3</f>
        <v>855</v>
      </c>
      <c r="P251" s="287">
        <v>1005</v>
      </c>
    </row>
    <row r="252" spans="1:16">
      <c r="A252" s="246" t="s">
        <v>229</v>
      </c>
      <c r="B252" s="247" t="s">
        <v>230</v>
      </c>
      <c r="C252" s="248"/>
      <c r="D252" s="249"/>
      <c r="E252" s="336">
        <v>285</v>
      </c>
      <c r="F252" s="336">
        <v>50</v>
      </c>
      <c r="G252" s="336"/>
      <c r="H252" s="336">
        <v>15</v>
      </c>
      <c r="I252" s="336"/>
      <c r="J252" s="295">
        <f t="shared" si="14"/>
        <v>350</v>
      </c>
      <c r="K252" s="296">
        <v>46154</v>
      </c>
      <c r="L252" s="297"/>
      <c r="N252" s="21">
        <v>4</v>
      </c>
      <c r="O252" s="287">
        <f>285*4</f>
        <v>1140</v>
      </c>
      <c r="P252" s="287">
        <v>1340</v>
      </c>
    </row>
    <row r="253" spans="1:16">
      <c r="A253" s="246" t="s">
        <v>231</v>
      </c>
      <c r="B253" s="247" t="s">
        <v>232</v>
      </c>
      <c r="C253" s="248"/>
      <c r="D253" s="249"/>
      <c r="E253" s="336">
        <v>285</v>
      </c>
      <c r="F253" s="336">
        <v>50</v>
      </c>
      <c r="G253" s="336"/>
      <c r="H253" s="336">
        <v>15</v>
      </c>
      <c r="I253" s="336"/>
      <c r="J253" s="295">
        <f t="shared" si="14"/>
        <v>350</v>
      </c>
      <c r="K253" s="296">
        <v>46154</v>
      </c>
      <c r="L253" s="297"/>
      <c r="N253" s="21">
        <v>6</v>
      </c>
      <c r="O253" s="287">
        <f>285*6</f>
        <v>1710</v>
      </c>
      <c r="P253" s="287">
        <v>2010</v>
      </c>
    </row>
    <row r="254" spans="1:12">
      <c r="A254" s="246"/>
      <c r="B254" s="247" t="s">
        <v>228</v>
      </c>
      <c r="C254" s="248"/>
      <c r="D254" s="249"/>
      <c r="E254" s="336"/>
      <c r="F254" s="336"/>
      <c r="G254" s="336">
        <v>150</v>
      </c>
      <c r="H254" s="336"/>
      <c r="I254" s="336"/>
      <c r="J254" s="295">
        <f t="shared" si="14"/>
        <v>150</v>
      </c>
      <c r="K254" s="296">
        <v>46154</v>
      </c>
      <c r="L254" s="297"/>
    </row>
    <row r="255" spans="1:12">
      <c r="A255" s="246"/>
      <c r="B255" s="250"/>
      <c r="C255" s="250"/>
      <c r="D255" s="250"/>
      <c r="E255" s="278">
        <f t="shared" ref="E255:I255" si="15">SUM(E248:E254)</f>
        <v>1995</v>
      </c>
      <c r="F255" s="278">
        <f t="shared" si="15"/>
        <v>350</v>
      </c>
      <c r="G255" s="278">
        <f t="shared" si="15"/>
        <v>345</v>
      </c>
      <c r="H255" s="278">
        <f t="shared" si="15"/>
        <v>105</v>
      </c>
      <c r="I255" s="278">
        <f t="shared" si="15"/>
        <v>0</v>
      </c>
      <c r="J255" s="295">
        <f t="shared" si="14"/>
        <v>2795</v>
      </c>
      <c r="K255" s="300"/>
      <c r="L255" s="297"/>
    </row>
    <row r="256" spans="1:10">
      <c r="A256" s="251"/>
      <c r="B256" s="252"/>
      <c r="C256" s="252"/>
      <c r="D256" s="252"/>
      <c r="E256" s="279"/>
      <c r="F256" s="279"/>
      <c r="G256" s="280"/>
      <c r="H256" s="280"/>
      <c r="I256" s="280"/>
      <c r="J256" s="301"/>
    </row>
    <row r="257" spans="1:10">
      <c r="A257" s="253"/>
      <c r="B257" s="252"/>
      <c r="C257" s="252"/>
      <c r="D257" s="252"/>
      <c r="E257" s="280"/>
      <c r="F257" s="280"/>
      <c r="G257" s="281"/>
      <c r="H257" s="281"/>
      <c r="I257" s="281"/>
      <c r="J257" s="268"/>
    </row>
    <row r="258" ht="13.9" spans="3:9">
      <c r="C258" s="254" t="s">
        <v>75</v>
      </c>
      <c r="D258" s="254"/>
      <c r="E258" s="254"/>
      <c r="F258" s="254"/>
      <c r="G258" s="254"/>
      <c r="H258" s="254"/>
      <c r="I258" s="254"/>
    </row>
    <row r="259" spans="1:12">
      <c r="A259" s="255" t="s">
        <v>76</v>
      </c>
      <c r="B259" s="256" t="s">
        <v>77</v>
      </c>
      <c r="C259" s="257"/>
      <c r="D259" s="257"/>
      <c r="E259" s="15" t="s">
        <v>78</v>
      </c>
      <c r="F259" s="15"/>
      <c r="G259" s="15"/>
      <c r="H259" s="15"/>
      <c r="I259" s="15"/>
      <c r="J259" s="15"/>
      <c r="K259" s="255" t="s">
        <v>59</v>
      </c>
      <c r="L259" s="302" t="s">
        <v>79</v>
      </c>
    </row>
    <row r="260" spans="1:12">
      <c r="A260" s="258"/>
      <c r="B260" s="259"/>
      <c r="C260" s="260"/>
      <c r="D260" s="260"/>
      <c r="E260" s="15" t="s">
        <v>53</v>
      </c>
      <c r="F260" s="15" t="s">
        <v>80</v>
      </c>
      <c r="G260" s="282" t="s">
        <v>81</v>
      </c>
      <c r="H260" s="23" t="s">
        <v>56</v>
      </c>
      <c r="I260" s="282" t="s">
        <v>82</v>
      </c>
      <c r="J260" s="174" t="s">
        <v>58</v>
      </c>
      <c r="K260" s="258"/>
      <c r="L260" s="303"/>
    </row>
    <row r="261" spans="1:12">
      <c r="A261" s="261">
        <v>1</v>
      </c>
      <c r="B261" s="262" t="s">
        <v>233</v>
      </c>
      <c r="C261" s="263"/>
      <c r="D261" s="263"/>
      <c r="E261" s="283">
        <v>3090</v>
      </c>
      <c r="F261" s="283"/>
      <c r="G261" s="283"/>
      <c r="H261" s="284"/>
      <c r="I261" s="304"/>
      <c r="J261" s="352">
        <f t="shared" ref="J261:J266" si="16">E261+F261+G261+H261+I261</f>
        <v>3090</v>
      </c>
      <c r="K261" s="305" t="s">
        <v>21</v>
      </c>
      <c r="L261" s="353" t="s">
        <v>21</v>
      </c>
    </row>
    <row r="262" spans="1:12">
      <c r="A262" s="261"/>
      <c r="B262" s="262" t="s">
        <v>234</v>
      </c>
      <c r="C262" s="263"/>
      <c r="D262" s="263"/>
      <c r="E262" s="283">
        <v>150</v>
      </c>
      <c r="F262" s="283"/>
      <c r="G262" s="283"/>
      <c r="H262" s="284"/>
      <c r="I262" s="304"/>
      <c r="J262" s="352">
        <f t="shared" si="16"/>
        <v>150</v>
      </c>
      <c r="K262" s="300"/>
      <c r="L262" s="341" t="s">
        <v>21</v>
      </c>
    </row>
    <row r="263" spans="1:12">
      <c r="A263" s="261"/>
      <c r="B263" s="262" t="s">
        <v>21</v>
      </c>
      <c r="C263" s="263"/>
      <c r="D263" s="263"/>
      <c r="E263" s="283"/>
      <c r="F263" s="283">
        <v>0</v>
      </c>
      <c r="G263" s="283"/>
      <c r="H263" s="284"/>
      <c r="I263" s="304"/>
      <c r="J263" s="352">
        <f t="shared" si="16"/>
        <v>0</v>
      </c>
      <c r="K263" s="300"/>
      <c r="L263" s="341"/>
    </row>
    <row r="264" spans="1:12">
      <c r="A264" s="261"/>
      <c r="B264" s="315"/>
      <c r="C264" s="316"/>
      <c r="D264" s="316"/>
      <c r="E264" s="285"/>
      <c r="F264" s="285"/>
      <c r="G264" s="285"/>
      <c r="H264" s="286"/>
      <c r="I264" s="288"/>
      <c r="J264" s="287">
        <f t="shared" si="16"/>
        <v>0</v>
      </c>
      <c r="K264" s="21"/>
      <c r="L264" s="327"/>
    </row>
    <row r="265" spans="1:12">
      <c r="A265" s="261"/>
      <c r="B265" s="315"/>
      <c r="C265" s="316"/>
      <c r="D265" s="316"/>
      <c r="E265" s="285"/>
      <c r="F265" s="285"/>
      <c r="G265" s="287"/>
      <c r="H265" s="288"/>
      <c r="I265" s="288"/>
      <c r="J265" s="287">
        <f t="shared" si="16"/>
        <v>0</v>
      </c>
      <c r="K265" s="21"/>
      <c r="L265" s="327"/>
    </row>
    <row r="266" spans="1:12">
      <c r="A266" s="21"/>
      <c r="B266" s="266"/>
      <c r="C266" s="267"/>
      <c r="D266" s="267"/>
      <c r="E266" s="289">
        <f t="shared" ref="E266:I266" si="17">SUM(E261:E265)</f>
        <v>3240</v>
      </c>
      <c r="F266" s="289">
        <f t="shared" si="17"/>
        <v>0</v>
      </c>
      <c r="G266" s="289">
        <f t="shared" si="17"/>
        <v>0</v>
      </c>
      <c r="H266" s="289">
        <f t="shared" si="17"/>
        <v>0</v>
      </c>
      <c r="I266" s="289">
        <f t="shared" si="17"/>
        <v>0</v>
      </c>
      <c r="J266" s="289">
        <f t="shared" si="16"/>
        <v>3240</v>
      </c>
      <c r="K266" s="21"/>
      <c r="L266" s="327"/>
    </row>
    <row r="267" spans="1:10">
      <c r="A267" s="268"/>
      <c r="B267" s="252"/>
      <c r="C267" s="252"/>
      <c r="D267" s="252"/>
      <c r="E267" s="290"/>
      <c r="F267" s="290"/>
      <c r="G267" s="290"/>
      <c r="H267" s="290"/>
      <c r="I267" s="290"/>
      <c r="J267" s="268"/>
    </row>
    <row r="268" spans="1:10">
      <c r="A268" s="268"/>
      <c r="B268" s="252"/>
      <c r="C268" s="252"/>
      <c r="D268" s="252"/>
      <c r="E268" s="290"/>
      <c r="F268" s="290"/>
      <c r="G268" s="290"/>
      <c r="H268" s="185" t="s">
        <v>85</v>
      </c>
      <c r="I268" s="185"/>
      <c r="J268" s="347">
        <f>J255-J266</f>
        <v>-445</v>
      </c>
    </row>
    <row r="269" spans="1:10">
      <c r="A269" s="268"/>
      <c r="B269" s="252"/>
      <c r="C269" s="252"/>
      <c r="D269" s="252"/>
      <c r="E269" s="290"/>
      <c r="F269" s="290"/>
      <c r="G269" s="290"/>
      <c r="H269" s="290"/>
      <c r="I269" s="290"/>
      <c r="J269" s="268"/>
    </row>
    <row r="270" spans="1:11">
      <c r="A270" s="268"/>
      <c r="B270" s="198" t="s">
        <v>86</v>
      </c>
      <c r="C270" s="198"/>
      <c r="D270" s="199"/>
      <c r="E270" s="198" t="s">
        <v>87</v>
      </c>
      <c r="F270" s="198"/>
      <c r="G270" s="198"/>
      <c r="H270" s="198"/>
      <c r="I270" s="199"/>
      <c r="J270" s="198" t="s">
        <v>88</v>
      </c>
      <c r="K270" s="198"/>
    </row>
    <row r="271" spans="1:9">
      <c r="A271" s="268"/>
      <c r="C271" s="200"/>
      <c r="D271" s="200"/>
      <c r="E271" s="200"/>
      <c r="F271" s="200"/>
      <c r="G271" s="200"/>
      <c r="H271" s="200"/>
      <c r="I271" s="200"/>
    </row>
    <row r="272" spans="1:12">
      <c r="A272" s="268"/>
      <c r="B272" s="269" t="s">
        <v>17</v>
      </c>
      <c r="C272" s="269"/>
      <c r="D272" s="269"/>
      <c r="E272" s="291" t="s">
        <v>22</v>
      </c>
      <c r="F272" s="291"/>
      <c r="G272" s="291"/>
      <c r="H272" s="291"/>
      <c r="J272" s="308" t="s">
        <v>19</v>
      </c>
      <c r="K272" s="308"/>
      <c r="L272" s="308"/>
    </row>
    <row r="273" spans="1:11">
      <c r="A273" s="268"/>
      <c r="B273" s="198" t="s">
        <v>89</v>
      </c>
      <c r="C273" s="198"/>
      <c r="D273" s="199"/>
      <c r="E273" s="198" t="s">
        <v>90</v>
      </c>
      <c r="F273" s="198"/>
      <c r="G273" s="198"/>
      <c r="H273" s="198"/>
      <c r="J273" s="198" t="s">
        <v>91</v>
      </c>
      <c r="K273" s="198"/>
    </row>
    <row r="280" spans="1:12">
      <c r="A280" s="270"/>
      <c r="B280" s="270"/>
      <c r="C280" s="270"/>
      <c r="D280" s="270"/>
      <c r="E280" s="270"/>
      <c r="F280" s="270"/>
      <c r="G280" s="270"/>
      <c r="H280" s="270"/>
      <c r="I280" s="270"/>
      <c r="J280" s="270"/>
      <c r="K280" s="270"/>
      <c r="L280" s="270"/>
    </row>
    <row r="281" spans="3:12">
      <c r="C281" s="240"/>
      <c r="D281" s="165" t="s">
        <v>44</v>
      </c>
      <c r="E281" s="33"/>
      <c r="F281" s="33"/>
      <c r="G281" s="33"/>
      <c r="H281" s="33"/>
      <c r="I281" s="33"/>
      <c r="J281" s="33"/>
      <c r="K281" s="292"/>
      <c r="L281" s="292"/>
    </row>
    <row r="282" spans="7:10">
      <c r="G282" s="198"/>
      <c r="H282" s="198"/>
      <c r="I282" s="198"/>
      <c r="J282" s="198"/>
    </row>
    <row r="283" ht="13.9" spans="2:11">
      <c r="B283" s="241" t="s">
        <v>235</v>
      </c>
      <c r="C283" s="241"/>
      <c r="D283" s="241"/>
      <c r="E283" s="241"/>
      <c r="F283" s="241"/>
      <c r="G283" s="241"/>
      <c r="H283" s="241"/>
      <c r="I283" s="241"/>
      <c r="J283" s="241"/>
      <c r="K283" s="241"/>
    </row>
    <row r="284" ht="14.45" spans="2:10">
      <c r="B284" s="242" t="s">
        <v>46</v>
      </c>
      <c r="C284" s="243">
        <v>300</v>
      </c>
      <c r="D284" s="242"/>
      <c r="E284" s="271" t="s">
        <v>47</v>
      </c>
      <c r="F284" s="242"/>
      <c r="G284" s="272">
        <v>50</v>
      </c>
      <c r="H284" s="272"/>
      <c r="I284" s="203" t="s">
        <v>48</v>
      </c>
      <c r="J284" s="198">
        <v>15</v>
      </c>
    </row>
    <row r="285" ht="14.45" spans="2:10">
      <c r="B285" s="242"/>
      <c r="C285" s="243"/>
      <c r="D285" s="242"/>
      <c r="E285" s="271"/>
      <c r="F285" s="242"/>
      <c r="G285" s="272"/>
      <c r="H285" s="272"/>
      <c r="I285" s="198"/>
      <c r="J285" s="198"/>
    </row>
    <row r="286" ht="13.9" spans="5:11">
      <c r="E286" s="254" t="s">
        <v>49</v>
      </c>
      <c r="F286" s="254"/>
      <c r="G286" s="254"/>
      <c r="H286" s="254"/>
      <c r="I286" s="254"/>
      <c r="J286" s="293"/>
      <c r="K286" s="293"/>
    </row>
    <row r="287" spans="1:12">
      <c r="A287" s="309" t="s">
        <v>51</v>
      </c>
      <c r="B287" s="186" t="s">
        <v>52</v>
      </c>
      <c r="C287" s="186"/>
      <c r="D287" s="186"/>
      <c r="E287" s="174" t="s">
        <v>53</v>
      </c>
      <c r="F287" s="317" t="s">
        <v>54</v>
      </c>
      <c r="G287" s="318" t="s">
        <v>55</v>
      </c>
      <c r="H287" s="318" t="s">
        <v>56</v>
      </c>
      <c r="I287" s="320" t="s">
        <v>57</v>
      </c>
      <c r="J287" s="174" t="s">
        <v>58</v>
      </c>
      <c r="K287" s="174" t="s">
        <v>59</v>
      </c>
      <c r="L287" s="174" t="s">
        <v>60</v>
      </c>
    </row>
    <row r="288" spans="1:16">
      <c r="A288" s="310" t="s">
        <v>236</v>
      </c>
      <c r="B288" s="311" t="s">
        <v>237</v>
      </c>
      <c r="C288" s="312"/>
      <c r="D288" s="313"/>
      <c r="E288" s="319">
        <v>570</v>
      </c>
      <c r="F288" s="319">
        <v>100</v>
      </c>
      <c r="G288" s="319"/>
      <c r="H288" s="319">
        <v>30</v>
      </c>
      <c r="I288" s="319"/>
      <c r="J288" s="307">
        <f t="shared" ref="J288:J304" si="18">SUM(E288+F288+G288+H288+I288)</f>
        <v>700</v>
      </c>
      <c r="K288" s="321">
        <v>46175</v>
      </c>
      <c r="L288" s="354" t="s">
        <v>238</v>
      </c>
      <c r="N288" s="15" t="s">
        <v>116</v>
      </c>
      <c r="O288" s="173">
        <v>350</v>
      </c>
      <c r="P288" s="173">
        <v>400</v>
      </c>
    </row>
    <row r="289" spans="1:16">
      <c r="A289" s="310" t="s">
        <v>239</v>
      </c>
      <c r="B289" s="311" t="s">
        <v>240</v>
      </c>
      <c r="C289" s="312"/>
      <c r="D289" s="313"/>
      <c r="E289" s="319">
        <v>285</v>
      </c>
      <c r="F289" s="319">
        <v>50</v>
      </c>
      <c r="G289" s="319"/>
      <c r="H289" s="319">
        <v>15</v>
      </c>
      <c r="I289" s="319"/>
      <c r="J289" s="307">
        <f t="shared" si="18"/>
        <v>350</v>
      </c>
      <c r="K289" s="321">
        <v>46175</v>
      </c>
      <c r="L289" s="354" t="s">
        <v>238</v>
      </c>
      <c r="N289" s="21">
        <v>1</v>
      </c>
      <c r="O289" s="287">
        <v>285</v>
      </c>
      <c r="P289" s="287">
        <v>335</v>
      </c>
    </row>
    <row r="290" spans="1:16">
      <c r="A290" s="310" t="s">
        <v>241</v>
      </c>
      <c r="B290" s="311" t="s">
        <v>242</v>
      </c>
      <c r="C290" s="312"/>
      <c r="D290" s="313"/>
      <c r="E290" s="319">
        <v>570</v>
      </c>
      <c r="F290" s="319">
        <v>100</v>
      </c>
      <c r="G290" s="319"/>
      <c r="H290" s="319">
        <v>30</v>
      </c>
      <c r="I290" s="319"/>
      <c r="J290" s="307">
        <f t="shared" si="18"/>
        <v>700</v>
      </c>
      <c r="K290" s="321">
        <v>46182</v>
      </c>
      <c r="L290" s="354" t="s">
        <v>243</v>
      </c>
      <c r="N290" s="21">
        <v>2</v>
      </c>
      <c r="O290" s="287">
        <f>285*2</f>
        <v>570</v>
      </c>
      <c r="P290" s="287">
        <v>670</v>
      </c>
    </row>
    <row r="291" spans="1:16">
      <c r="A291" s="310"/>
      <c r="B291" s="311" t="s">
        <v>244</v>
      </c>
      <c r="C291" s="312"/>
      <c r="D291" s="313"/>
      <c r="E291" s="319"/>
      <c r="F291" s="319"/>
      <c r="G291" s="319">
        <v>0</v>
      </c>
      <c r="H291" s="319"/>
      <c r="I291" s="319"/>
      <c r="J291" s="307">
        <f t="shared" si="18"/>
        <v>0</v>
      </c>
      <c r="K291" s="321" t="s">
        <v>245</v>
      </c>
      <c r="L291" s="355" t="s">
        <v>246</v>
      </c>
      <c r="N291" s="21">
        <v>3</v>
      </c>
      <c r="O291" s="287">
        <f>285*3</f>
        <v>855</v>
      </c>
      <c r="P291" s="287">
        <v>1005</v>
      </c>
    </row>
    <row r="292" spans="1:16">
      <c r="A292" s="310"/>
      <c r="B292" s="311" t="s">
        <v>228</v>
      </c>
      <c r="C292" s="312"/>
      <c r="D292" s="313"/>
      <c r="E292" s="319"/>
      <c r="F292" s="319"/>
      <c r="G292" s="319">
        <v>120</v>
      </c>
      <c r="H292" s="319"/>
      <c r="I292" s="319"/>
      <c r="J292" s="307">
        <f t="shared" si="18"/>
        <v>120</v>
      </c>
      <c r="K292" s="321">
        <v>46182</v>
      </c>
      <c r="L292" s="354"/>
      <c r="N292" s="21">
        <v>4</v>
      </c>
      <c r="O292" s="287">
        <f>285*4</f>
        <v>1140</v>
      </c>
      <c r="P292" s="287">
        <v>1340</v>
      </c>
    </row>
    <row r="293" spans="1:16">
      <c r="A293" s="310" t="s">
        <v>247</v>
      </c>
      <c r="B293" s="311" t="s">
        <v>248</v>
      </c>
      <c r="C293" s="312"/>
      <c r="D293" s="313"/>
      <c r="E293" s="319">
        <v>285</v>
      </c>
      <c r="F293" s="319">
        <v>50</v>
      </c>
      <c r="G293" s="319"/>
      <c r="H293" s="319">
        <v>15</v>
      </c>
      <c r="I293" s="319"/>
      <c r="J293" s="356">
        <f t="shared" si="18"/>
        <v>350</v>
      </c>
      <c r="K293" s="321">
        <v>46168</v>
      </c>
      <c r="L293" s="357" t="s">
        <v>249</v>
      </c>
      <c r="N293" s="21">
        <v>6</v>
      </c>
      <c r="O293" s="287">
        <f>285*6</f>
        <v>1710</v>
      </c>
      <c r="P293" s="287">
        <v>2010</v>
      </c>
    </row>
    <row r="294" spans="1:16">
      <c r="A294" s="310" t="s">
        <v>250</v>
      </c>
      <c r="B294" s="311" t="s">
        <v>251</v>
      </c>
      <c r="C294" s="312"/>
      <c r="D294" s="313"/>
      <c r="E294" s="319">
        <v>855</v>
      </c>
      <c r="F294" s="319">
        <v>150</v>
      </c>
      <c r="G294" s="319"/>
      <c r="H294" s="319">
        <v>45</v>
      </c>
      <c r="I294" s="319"/>
      <c r="J294" s="307">
        <f t="shared" si="18"/>
        <v>1050</v>
      </c>
      <c r="K294" s="321">
        <v>46189</v>
      </c>
      <c r="L294" s="358" t="s">
        <v>252</v>
      </c>
      <c r="N294" s="139"/>
      <c r="O294" s="231"/>
      <c r="P294" s="231"/>
    </row>
    <row r="295" spans="1:16">
      <c r="A295" s="310" t="s">
        <v>253</v>
      </c>
      <c r="B295" s="311" t="s">
        <v>251</v>
      </c>
      <c r="C295" s="312"/>
      <c r="D295" s="313"/>
      <c r="E295" s="319">
        <v>1005</v>
      </c>
      <c r="F295" s="319">
        <v>150</v>
      </c>
      <c r="G295" s="319"/>
      <c r="H295" s="319">
        <v>45</v>
      </c>
      <c r="I295" s="319"/>
      <c r="J295" s="307">
        <f t="shared" si="18"/>
        <v>1200</v>
      </c>
      <c r="K295" s="321">
        <v>46189</v>
      </c>
      <c r="L295" s="322" t="s">
        <v>254</v>
      </c>
      <c r="N295" s="139"/>
      <c r="O295" s="231"/>
      <c r="P295" s="231"/>
    </row>
    <row r="296" spans="1:16">
      <c r="A296" s="310" t="s">
        <v>255</v>
      </c>
      <c r="B296" s="311" t="s">
        <v>256</v>
      </c>
      <c r="C296" s="312"/>
      <c r="D296" s="313"/>
      <c r="E296" s="319">
        <v>285</v>
      </c>
      <c r="F296" s="319">
        <v>50</v>
      </c>
      <c r="G296" s="319"/>
      <c r="H296" s="319">
        <v>15</v>
      </c>
      <c r="I296" s="319"/>
      <c r="J296" s="307">
        <f t="shared" si="18"/>
        <v>350</v>
      </c>
      <c r="K296" s="321">
        <v>46189</v>
      </c>
      <c r="L296" s="322" t="s">
        <v>257</v>
      </c>
      <c r="N296" s="139"/>
      <c r="O296" s="231"/>
      <c r="P296" s="231"/>
    </row>
    <row r="297" spans="1:16">
      <c r="A297" s="310" t="s">
        <v>258</v>
      </c>
      <c r="B297" s="311" t="s">
        <v>259</v>
      </c>
      <c r="C297" s="312"/>
      <c r="D297" s="313"/>
      <c r="E297" s="319">
        <v>285</v>
      </c>
      <c r="F297" s="319">
        <v>50</v>
      </c>
      <c r="G297" s="319"/>
      <c r="H297" s="319">
        <v>15</v>
      </c>
      <c r="I297" s="319"/>
      <c r="J297" s="307">
        <f t="shared" si="18"/>
        <v>350</v>
      </c>
      <c r="K297" s="321">
        <v>46189</v>
      </c>
      <c r="L297" s="322" t="s">
        <v>257</v>
      </c>
      <c r="N297" s="139"/>
      <c r="O297" s="231"/>
      <c r="P297" s="231"/>
    </row>
    <row r="298" spans="1:16">
      <c r="A298" s="310" t="s">
        <v>260</v>
      </c>
      <c r="B298" s="311" t="s">
        <v>240</v>
      </c>
      <c r="C298" s="312"/>
      <c r="D298" s="313"/>
      <c r="E298" s="319">
        <v>285</v>
      </c>
      <c r="F298" s="319">
        <v>50</v>
      </c>
      <c r="G298" s="319"/>
      <c r="H298" s="319">
        <v>15</v>
      </c>
      <c r="I298" s="319"/>
      <c r="J298" s="307">
        <f t="shared" si="18"/>
        <v>350</v>
      </c>
      <c r="K298" s="321">
        <v>46187</v>
      </c>
      <c r="L298" s="322" t="s">
        <v>257</v>
      </c>
      <c r="N298" s="139"/>
      <c r="O298" s="231"/>
      <c r="P298" s="231"/>
    </row>
    <row r="299" spans="1:16">
      <c r="A299" s="310"/>
      <c r="B299" s="311" t="s">
        <v>261</v>
      </c>
      <c r="C299" s="312"/>
      <c r="D299" s="313"/>
      <c r="E299" s="319"/>
      <c r="F299" s="319">
        <v>500</v>
      </c>
      <c r="G299" s="319"/>
      <c r="H299" s="319"/>
      <c r="I299" s="319">
        <v>0</v>
      </c>
      <c r="J299" s="356">
        <f t="shared" si="18"/>
        <v>500</v>
      </c>
      <c r="K299" s="321"/>
      <c r="L299" s="357" t="s">
        <v>249</v>
      </c>
      <c r="N299" s="139"/>
      <c r="O299" s="231"/>
      <c r="P299" s="231"/>
    </row>
    <row r="300" spans="1:16">
      <c r="A300" s="310"/>
      <c r="B300" s="311" t="s">
        <v>228</v>
      </c>
      <c r="C300" s="349"/>
      <c r="D300" s="350"/>
      <c r="E300" s="319"/>
      <c r="F300" s="319"/>
      <c r="G300" s="319">
        <v>225</v>
      </c>
      <c r="H300" s="319"/>
      <c r="I300" s="319"/>
      <c r="J300" s="307">
        <f t="shared" si="18"/>
        <v>225</v>
      </c>
      <c r="K300" s="321">
        <v>46189</v>
      </c>
      <c r="L300" s="322"/>
      <c r="N300" s="139"/>
      <c r="O300" s="231"/>
      <c r="P300" s="231"/>
    </row>
    <row r="301" spans="1:16">
      <c r="A301" s="310" t="s">
        <v>21</v>
      </c>
      <c r="B301" s="311" t="s">
        <v>228</v>
      </c>
      <c r="C301" s="349"/>
      <c r="D301" s="351"/>
      <c r="E301" s="319"/>
      <c r="F301" s="319"/>
      <c r="G301" s="319">
        <v>936</v>
      </c>
      <c r="H301" s="319"/>
      <c r="I301" s="319"/>
      <c r="J301" s="307">
        <f t="shared" si="18"/>
        <v>936</v>
      </c>
      <c r="K301" s="321">
        <v>46196</v>
      </c>
      <c r="L301" s="322"/>
      <c r="N301" s="139"/>
      <c r="O301" s="231"/>
      <c r="P301" s="231"/>
    </row>
    <row r="302" spans="1:16">
      <c r="A302" s="310" t="s">
        <v>262</v>
      </c>
      <c r="B302" s="311" t="s">
        <v>263</v>
      </c>
      <c r="C302" s="312"/>
      <c r="D302" s="313"/>
      <c r="E302" s="319">
        <v>285</v>
      </c>
      <c r="F302" s="319">
        <v>50</v>
      </c>
      <c r="G302" s="319"/>
      <c r="H302" s="319">
        <v>15</v>
      </c>
      <c r="I302" s="319"/>
      <c r="J302" s="356">
        <f t="shared" si="18"/>
        <v>350</v>
      </c>
      <c r="K302" s="321">
        <v>46199</v>
      </c>
      <c r="L302" s="357" t="s">
        <v>249</v>
      </c>
      <c r="N302" s="139"/>
      <c r="O302" s="231"/>
      <c r="P302" s="231"/>
    </row>
    <row r="303" spans="1:16">
      <c r="A303" s="310" t="s">
        <v>264</v>
      </c>
      <c r="B303" s="311" t="s">
        <v>265</v>
      </c>
      <c r="C303" s="312"/>
      <c r="D303" s="313"/>
      <c r="E303" s="319">
        <v>1675</v>
      </c>
      <c r="F303" s="319">
        <v>250</v>
      </c>
      <c r="G303" s="319"/>
      <c r="H303" s="319">
        <v>75</v>
      </c>
      <c r="I303" s="319"/>
      <c r="J303" s="356">
        <f t="shared" si="18"/>
        <v>2000</v>
      </c>
      <c r="K303" s="321">
        <v>46199</v>
      </c>
      <c r="L303" s="357" t="s">
        <v>249</v>
      </c>
      <c r="N303" s="139"/>
      <c r="O303" s="231"/>
      <c r="P303" s="231"/>
    </row>
    <row r="304" spans="1:12">
      <c r="A304" s="310"/>
      <c r="B304" s="314"/>
      <c r="C304" s="314"/>
      <c r="D304" s="314"/>
      <c r="E304" s="185">
        <f t="shared" ref="E304:I304" si="19">SUM(E288:E303)</f>
        <v>6385</v>
      </c>
      <c r="F304" s="185">
        <f t="shared" si="19"/>
        <v>1550</v>
      </c>
      <c r="G304" s="185">
        <f t="shared" si="19"/>
        <v>1281</v>
      </c>
      <c r="H304" s="185">
        <f t="shared" si="19"/>
        <v>315</v>
      </c>
      <c r="I304" s="185">
        <f t="shared" si="19"/>
        <v>0</v>
      </c>
      <c r="J304" s="307">
        <f t="shared" si="18"/>
        <v>9531</v>
      </c>
      <c r="K304" s="21"/>
      <c r="L304" s="322"/>
    </row>
    <row r="305" spans="1:10">
      <c r="A305" s="251"/>
      <c r="B305" s="252"/>
      <c r="C305" s="252"/>
      <c r="D305" s="252"/>
      <c r="E305" s="279"/>
      <c r="F305" s="279"/>
      <c r="G305" s="280"/>
      <c r="H305" s="280"/>
      <c r="I305" s="280"/>
      <c r="J305" s="301"/>
    </row>
    <row r="306" spans="1:10">
      <c r="A306" s="253"/>
      <c r="B306" s="252"/>
      <c r="C306" s="252"/>
      <c r="D306" s="252"/>
      <c r="E306" s="280"/>
      <c r="F306" s="280"/>
      <c r="G306" s="281"/>
      <c r="H306" s="281"/>
      <c r="I306" s="281"/>
      <c r="J306" s="268"/>
    </row>
    <row r="307" ht="13.9" spans="3:9">
      <c r="C307" s="254" t="s">
        <v>75</v>
      </c>
      <c r="D307" s="254"/>
      <c r="E307" s="254"/>
      <c r="F307" s="254"/>
      <c r="G307" s="254"/>
      <c r="H307" s="254"/>
      <c r="I307" s="254"/>
    </row>
    <row r="308" spans="1:12">
      <c r="A308" s="255" t="s">
        <v>76</v>
      </c>
      <c r="B308" s="256" t="s">
        <v>77</v>
      </c>
      <c r="C308" s="257"/>
      <c r="D308" s="257"/>
      <c r="E308" s="15" t="s">
        <v>78</v>
      </c>
      <c r="F308" s="15"/>
      <c r="G308" s="15"/>
      <c r="H308" s="15"/>
      <c r="I308" s="15"/>
      <c r="J308" s="15"/>
      <c r="K308" s="255" t="s">
        <v>59</v>
      </c>
      <c r="L308" s="302" t="s">
        <v>79</v>
      </c>
    </row>
    <row r="309" spans="1:12">
      <c r="A309" s="258"/>
      <c r="B309" s="259"/>
      <c r="C309" s="260"/>
      <c r="D309" s="260"/>
      <c r="E309" s="15" t="s">
        <v>53</v>
      </c>
      <c r="F309" s="15" t="s">
        <v>80</v>
      </c>
      <c r="G309" s="282" t="s">
        <v>81</v>
      </c>
      <c r="H309" s="23" t="s">
        <v>56</v>
      </c>
      <c r="I309" s="282" t="s">
        <v>82</v>
      </c>
      <c r="J309" s="174" t="s">
        <v>58</v>
      </c>
      <c r="K309" s="258"/>
      <c r="L309" s="303"/>
    </row>
    <row r="310" spans="1:12">
      <c r="A310" s="261"/>
      <c r="B310" s="315" t="s">
        <v>233</v>
      </c>
      <c r="C310" s="316"/>
      <c r="D310" s="316"/>
      <c r="E310" s="285">
        <v>3990</v>
      </c>
      <c r="F310" s="285"/>
      <c r="G310" s="285"/>
      <c r="H310" s="286"/>
      <c r="I310" s="288"/>
      <c r="J310" s="287">
        <f t="shared" ref="J310:J316" si="20">E310+F310+G310+H310+I310</f>
        <v>3990</v>
      </c>
      <c r="K310" s="325" t="s">
        <v>21</v>
      </c>
      <c r="L310" s="326" t="s">
        <v>21</v>
      </c>
    </row>
    <row r="311" spans="1:12">
      <c r="A311" s="261"/>
      <c r="B311" s="315" t="s">
        <v>266</v>
      </c>
      <c r="C311" s="316"/>
      <c r="D311" s="316"/>
      <c r="E311" s="285"/>
      <c r="F311" s="285">
        <v>500</v>
      </c>
      <c r="G311" s="285"/>
      <c r="H311" s="286"/>
      <c r="I311" s="288"/>
      <c r="J311" s="287">
        <f t="shared" si="20"/>
        <v>500</v>
      </c>
      <c r="K311" s="21"/>
      <c r="L311" s="327"/>
    </row>
    <row r="312" spans="1:12">
      <c r="A312" s="261"/>
      <c r="B312" s="315" t="s">
        <v>267</v>
      </c>
      <c r="C312" s="316"/>
      <c r="D312" s="316"/>
      <c r="E312" s="285"/>
      <c r="F312" s="285">
        <v>9800</v>
      </c>
      <c r="G312" s="285"/>
      <c r="H312" s="286"/>
      <c r="I312" s="288"/>
      <c r="J312" s="287"/>
      <c r="K312" s="21"/>
      <c r="L312" s="327"/>
    </row>
    <row r="313" spans="1:12">
      <c r="A313" s="261"/>
      <c r="B313" s="315" t="s">
        <v>268</v>
      </c>
      <c r="C313" s="316"/>
      <c r="D313" s="316"/>
      <c r="E313" s="285"/>
      <c r="F313" s="285"/>
      <c r="G313" s="285"/>
      <c r="H313" s="286"/>
      <c r="I313" s="288"/>
      <c r="J313" s="287"/>
      <c r="K313" s="21"/>
      <c r="L313" s="327"/>
    </row>
    <row r="314" spans="1:12">
      <c r="A314" s="261"/>
      <c r="B314" s="315"/>
      <c r="C314" s="316"/>
      <c r="D314" s="316"/>
      <c r="E314" s="285"/>
      <c r="F314" s="285"/>
      <c r="G314" s="285"/>
      <c r="H314" s="286"/>
      <c r="I314" s="288"/>
      <c r="J314" s="287">
        <f t="shared" si="20"/>
        <v>0</v>
      </c>
      <c r="K314" s="21"/>
      <c r="L314" s="327"/>
    </row>
    <row r="315" spans="1:12">
      <c r="A315" s="261"/>
      <c r="B315" s="315"/>
      <c r="C315" s="316"/>
      <c r="D315" s="316"/>
      <c r="E315" s="285"/>
      <c r="F315" s="285"/>
      <c r="G315" s="287"/>
      <c r="H315" s="288"/>
      <c r="I315" s="288"/>
      <c r="J315" s="287">
        <f t="shared" si="20"/>
        <v>0</v>
      </c>
      <c r="K315" s="21"/>
      <c r="L315" s="327"/>
    </row>
    <row r="316" spans="1:12">
      <c r="A316" s="21"/>
      <c r="B316" s="266"/>
      <c r="C316" s="267"/>
      <c r="D316" s="267"/>
      <c r="E316" s="289">
        <f t="shared" ref="E316:I316" si="21">SUM(E310:E315)</f>
        <v>3990</v>
      </c>
      <c r="F316" s="289">
        <f t="shared" si="21"/>
        <v>10300</v>
      </c>
      <c r="G316" s="289">
        <f t="shared" si="21"/>
        <v>0</v>
      </c>
      <c r="H316" s="289">
        <f t="shared" si="21"/>
        <v>0</v>
      </c>
      <c r="I316" s="289">
        <f t="shared" si="21"/>
        <v>0</v>
      </c>
      <c r="J316" s="289">
        <f t="shared" si="20"/>
        <v>14290</v>
      </c>
      <c r="K316" s="21"/>
      <c r="L316" s="327"/>
    </row>
    <row r="317" spans="1:10">
      <c r="A317" s="268"/>
      <c r="B317" s="252"/>
      <c r="C317" s="252"/>
      <c r="D317" s="252"/>
      <c r="E317" s="290"/>
      <c r="F317" s="290"/>
      <c r="G317" s="290"/>
      <c r="H317" s="290"/>
      <c r="I317" s="290"/>
      <c r="J317" s="268"/>
    </row>
    <row r="318" spans="1:10">
      <c r="A318" s="268"/>
      <c r="B318" s="252"/>
      <c r="C318" s="252"/>
      <c r="D318" s="252"/>
      <c r="E318" s="290"/>
      <c r="F318" s="290"/>
      <c r="G318" s="290"/>
      <c r="H318" s="185" t="s">
        <v>85</v>
      </c>
      <c r="I318" s="185"/>
      <c r="J318" s="347">
        <f>J304-J316</f>
        <v>-4759</v>
      </c>
    </row>
    <row r="319" spans="1:10">
      <c r="A319" s="268"/>
      <c r="B319" s="252"/>
      <c r="C319" s="252"/>
      <c r="D319" s="252"/>
      <c r="E319" s="290"/>
      <c r="F319" s="290"/>
      <c r="G319" s="290"/>
      <c r="H319" s="290"/>
      <c r="I319" s="290"/>
      <c r="J319" s="268"/>
    </row>
    <row r="320" spans="1:11">
      <c r="A320" s="268"/>
      <c r="B320" s="198" t="s">
        <v>86</v>
      </c>
      <c r="C320" s="198"/>
      <c r="D320" s="199"/>
      <c r="E320" s="198" t="s">
        <v>87</v>
      </c>
      <c r="F320" s="198"/>
      <c r="G320" s="198"/>
      <c r="H320" s="198"/>
      <c r="I320" s="199"/>
      <c r="J320" s="198" t="s">
        <v>88</v>
      </c>
      <c r="K320" s="198"/>
    </row>
    <row r="321" spans="1:9">
      <c r="A321" s="268"/>
      <c r="C321" s="200"/>
      <c r="D321" s="200"/>
      <c r="E321" s="200"/>
      <c r="F321" s="200"/>
      <c r="G321" s="200"/>
      <c r="H321" s="200"/>
      <c r="I321" s="200"/>
    </row>
    <row r="322" spans="1:12">
      <c r="A322" s="268"/>
      <c r="B322" s="269" t="s">
        <v>17</v>
      </c>
      <c r="C322" s="269"/>
      <c r="D322" s="269"/>
      <c r="E322" s="291" t="s">
        <v>22</v>
      </c>
      <c r="F322" s="291"/>
      <c r="G322" s="291"/>
      <c r="H322" s="291"/>
      <c r="J322" s="308" t="s">
        <v>19</v>
      </c>
      <c r="K322" s="308"/>
      <c r="L322" s="308"/>
    </row>
    <row r="323" spans="1:11">
      <c r="A323" s="268"/>
      <c r="B323" s="198" t="s">
        <v>89</v>
      </c>
      <c r="C323" s="198"/>
      <c r="D323" s="199"/>
      <c r="E323" s="198" t="s">
        <v>90</v>
      </c>
      <c r="F323" s="198"/>
      <c r="G323" s="198"/>
      <c r="H323" s="198"/>
      <c r="J323" s="198" t="s">
        <v>91</v>
      </c>
      <c r="K323" s="198"/>
    </row>
    <row r="327" spans="1:12">
      <c r="A327" s="270"/>
      <c r="B327" s="270"/>
      <c r="C327" s="270"/>
      <c r="D327" s="270"/>
      <c r="E327" s="270"/>
      <c r="F327" s="270"/>
      <c r="G327" s="270"/>
      <c r="H327" s="270"/>
      <c r="I327" s="270"/>
      <c r="J327" s="270"/>
      <c r="K327" s="270"/>
      <c r="L327" s="270"/>
    </row>
    <row r="328" spans="3:12">
      <c r="C328" s="240"/>
      <c r="D328" s="165" t="s">
        <v>44</v>
      </c>
      <c r="E328" s="33"/>
      <c r="F328" s="33"/>
      <c r="G328" s="33"/>
      <c r="H328" s="33"/>
      <c r="I328" s="33"/>
      <c r="J328" s="33"/>
      <c r="K328" s="292"/>
      <c r="L328" s="292"/>
    </row>
    <row r="329" spans="7:10">
      <c r="G329" s="198"/>
      <c r="H329" s="198"/>
      <c r="I329" s="198"/>
      <c r="J329" s="198"/>
    </row>
    <row r="330" ht="13.9" spans="2:11">
      <c r="B330" s="241" t="s">
        <v>269</v>
      </c>
      <c r="C330" s="241"/>
      <c r="D330" s="241"/>
      <c r="E330" s="241"/>
      <c r="F330" s="241"/>
      <c r="G330" s="241"/>
      <c r="H330" s="241"/>
      <c r="I330" s="241"/>
      <c r="J330" s="241"/>
      <c r="K330" s="241"/>
    </row>
    <row r="331" ht="14.45" spans="2:10">
      <c r="B331" s="242" t="s">
        <v>46</v>
      </c>
      <c r="C331" s="243">
        <v>350</v>
      </c>
      <c r="D331" s="242"/>
      <c r="E331" s="271" t="s">
        <v>47</v>
      </c>
      <c r="F331" s="242"/>
      <c r="G331" s="272">
        <v>50</v>
      </c>
      <c r="H331" s="272"/>
      <c r="I331" s="203" t="s">
        <v>48</v>
      </c>
      <c r="J331" s="198">
        <v>15</v>
      </c>
    </row>
    <row r="332" ht="14.45" spans="2:10">
      <c r="B332" s="242"/>
      <c r="C332" s="243"/>
      <c r="D332" s="242"/>
      <c r="E332" s="271"/>
      <c r="F332" s="242"/>
      <c r="G332" s="272"/>
      <c r="H332" s="272"/>
      <c r="I332" s="198"/>
      <c r="J332" s="198"/>
    </row>
    <row r="333" ht="13.9" spans="5:11">
      <c r="E333" s="254" t="s">
        <v>49</v>
      </c>
      <c r="F333" s="254"/>
      <c r="G333" s="254"/>
      <c r="H333" s="254"/>
      <c r="I333" s="254"/>
      <c r="J333" s="293"/>
      <c r="K333" s="293"/>
    </row>
    <row r="334" spans="1:12">
      <c r="A334" s="309" t="s">
        <v>51</v>
      </c>
      <c r="B334" s="186" t="s">
        <v>52</v>
      </c>
      <c r="C334" s="186"/>
      <c r="D334" s="186"/>
      <c r="E334" s="174" t="s">
        <v>53</v>
      </c>
      <c r="F334" s="317" t="s">
        <v>54</v>
      </c>
      <c r="G334" s="318" t="s">
        <v>55</v>
      </c>
      <c r="H334" s="318" t="s">
        <v>56</v>
      </c>
      <c r="I334" s="320" t="s">
        <v>57</v>
      </c>
      <c r="J334" s="174" t="s">
        <v>58</v>
      </c>
      <c r="K334" s="174" t="s">
        <v>59</v>
      </c>
      <c r="L334" s="174" t="s">
        <v>60</v>
      </c>
    </row>
    <row r="335" spans="1:16">
      <c r="A335" s="310" t="s">
        <v>270</v>
      </c>
      <c r="B335" s="311" t="s">
        <v>271</v>
      </c>
      <c r="C335" s="312"/>
      <c r="D335" s="313"/>
      <c r="E335" s="319">
        <v>285</v>
      </c>
      <c r="F335" s="319">
        <v>50</v>
      </c>
      <c r="G335" s="319">
        <v>50</v>
      </c>
      <c r="H335" s="319">
        <v>15</v>
      </c>
      <c r="I335" s="319"/>
      <c r="J335" s="307">
        <f t="shared" ref="J335:J351" si="22">SUM(E335+F335+G335+H335+I335)</f>
        <v>400</v>
      </c>
      <c r="K335" s="321">
        <v>46202</v>
      </c>
      <c r="L335" s="360">
        <v>46174</v>
      </c>
      <c r="N335" s="15" t="s">
        <v>116</v>
      </c>
      <c r="O335" s="173">
        <v>350</v>
      </c>
      <c r="P335" s="173">
        <v>400</v>
      </c>
    </row>
    <row r="336" spans="1:16">
      <c r="A336" s="310" t="s">
        <v>272</v>
      </c>
      <c r="B336" s="311" t="s">
        <v>259</v>
      </c>
      <c r="C336" s="312"/>
      <c r="D336" s="313"/>
      <c r="E336" s="359">
        <v>300</v>
      </c>
      <c r="F336" s="359">
        <v>0</v>
      </c>
      <c r="G336" s="319"/>
      <c r="H336" s="319"/>
      <c r="I336" s="319"/>
      <c r="J336" s="307">
        <f t="shared" si="22"/>
        <v>300</v>
      </c>
      <c r="K336" s="321">
        <v>46204</v>
      </c>
      <c r="L336" s="361" t="s">
        <v>273</v>
      </c>
      <c r="N336" s="21">
        <v>1</v>
      </c>
      <c r="O336" s="287">
        <v>285</v>
      </c>
      <c r="P336" s="287">
        <v>335</v>
      </c>
    </row>
    <row r="337" spans="1:16">
      <c r="A337" s="310" t="s">
        <v>274</v>
      </c>
      <c r="B337" s="311" t="s">
        <v>275</v>
      </c>
      <c r="C337" s="312"/>
      <c r="D337" s="313"/>
      <c r="E337" s="319">
        <v>570</v>
      </c>
      <c r="F337" s="319">
        <v>100</v>
      </c>
      <c r="G337" s="319"/>
      <c r="H337" s="319">
        <v>30</v>
      </c>
      <c r="I337" s="319"/>
      <c r="J337" s="307">
        <f t="shared" si="22"/>
        <v>700</v>
      </c>
      <c r="K337" s="321">
        <v>46208</v>
      </c>
      <c r="L337" s="354" t="s">
        <v>276</v>
      </c>
      <c r="N337" s="21">
        <v>2</v>
      </c>
      <c r="O337" s="287">
        <f>285*2</f>
        <v>570</v>
      </c>
      <c r="P337" s="287">
        <v>670</v>
      </c>
    </row>
    <row r="338" spans="1:16">
      <c r="A338" s="310" t="s">
        <v>277</v>
      </c>
      <c r="B338" s="311" t="s">
        <v>278</v>
      </c>
      <c r="C338" s="312"/>
      <c r="D338" s="313"/>
      <c r="E338" s="319">
        <v>335</v>
      </c>
      <c r="F338" s="319">
        <v>50</v>
      </c>
      <c r="G338" s="319"/>
      <c r="H338" s="319">
        <v>15</v>
      </c>
      <c r="I338" s="319"/>
      <c r="J338" s="307">
        <f t="shared" si="22"/>
        <v>400</v>
      </c>
      <c r="K338" s="321">
        <v>46210</v>
      </c>
      <c r="L338" s="355" t="s">
        <v>279</v>
      </c>
      <c r="N338" s="21">
        <v>3</v>
      </c>
      <c r="O338" s="287">
        <f>285*3</f>
        <v>855</v>
      </c>
      <c r="P338" s="287">
        <v>1005</v>
      </c>
    </row>
    <row r="339" spans="1:16">
      <c r="A339" s="310" t="s">
        <v>280</v>
      </c>
      <c r="B339" s="311" t="s">
        <v>281</v>
      </c>
      <c r="C339" s="312"/>
      <c r="D339" s="313" t="s">
        <v>21</v>
      </c>
      <c r="E339" s="319">
        <v>670</v>
      </c>
      <c r="F339" s="319">
        <v>100</v>
      </c>
      <c r="G339" s="319"/>
      <c r="H339" s="319">
        <v>30</v>
      </c>
      <c r="I339" s="319"/>
      <c r="J339" s="307">
        <f t="shared" si="22"/>
        <v>800</v>
      </c>
      <c r="K339" s="321">
        <v>46210</v>
      </c>
      <c r="L339" s="354" t="s">
        <v>282</v>
      </c>
      <c r="N339" s="21">
        <v>4</v>
      </c>
      <c r="O339" s="287">
        <f>285*4</f>
        <v>1140</v>
      </c>
      <c r="P339" s="287">
        <v>1340</v>
      </c>
    </row>
    <row r="340" spans="1:16">
      <c r="A340" s="310"/>
      <c r="B340" s="311" t="s">
        <v>228</v>
      </c>
      <c r="C340" s="312"/>
      <c r="D340" s="313"/>
      <c r="E340" s="319"/>
      <c r="F340" s="319"/>
      <c r="G340" s="319">
        <v>120</v>
      </c>
      <c r="H340" s="319"/>
      <c r="I340" s="319"/>
      <c r="J340" s="356">
        <f t="shared" si="22"/>
        <v>120</v>
      </c>
      <c r="K340" s="321">
        <v>46210</v>
      </c>
      <c r="L340" s="357"/>
      <c r="N340" s="21">
        <v>6</v>
      </c>
      <c r="O340" s="287">
        <f>285*6</f>
        <v>1710</v>
      </c>
      <c r="P340" s="287">
        <v>2010</v>
      </c>
    </row>
    <row r="341" spans="1:16">
      <c r="A341" s="310" t="s">
        <v>283</v>
      </c>
      <c r="B341" s="311" t="s">
        <v>242</v>
      </c>
      <c r="C341" s="312"/>
      <c r="D341" s="313"/>
      <c r="E341" s="319">
        <v>670</v>
      </c>
      <c r="F341" s="319">
        <v>100</v>
      </c>
      <c r="G341" s="319"/>
      <c r="H341" s="319">
        <v>30</v>
      </c>
      <c r="I341" s="319"/>
      <c r="J341" s="307">
        <f t="shared" si="22"/>
        <v>800</v>
      </c>
      <c r="K341" s="321">
        <v>46211</v>
      </c>
      <c r="L341" s="358" t="s">
        <v>282</v>
      </c>
      <c r="N341" s="139"/>
      <c r="O341" s="231"/>
      <c r="P341" s="231"/>
    </row>
    <row r="342" spans="1:16">
      <c r="A342" s="310"/>
      <c r="B342" s="311"/>
      <c r="C342" s="312"/>
      <c r="D342" s="313"/>
      <c r="E342" s="319"/>
      <c r="F342" s="319"/>
      <c r="G342" s="319"/>
      <c r="H342" s="319"/>
      <c r="I342" s="319"/>
      <c r="J342" s="307">
        <f t="shared" si="22"/>
        <v>0</v>
      </c>
      <c r="K342" s="321"/>
      <c r="L342" s="322"/>
      <c r="N342" s="139"/>
      <c r="O342" s="231"/>
      <c r="P342" s="231"/>
    </row>
    <row r="343" spans="1:16">
      <c r="A343" s="310"/>
      <c r="B343" s="311"/>
      <c r="C343" s="312"/>
      <c r="D343" s="313"/>
      <c r="E343" s="319"/>
      <c r="F343" s="319"/>
      <c r="G343" s="319"/>
      <c r="H343" s="319"/>
      <c r="I343" s="319"/>
      <c r="J343" s="307">
        <f t="shared" si="22"/>
        <v>0</v>
      </c>
      <c r="K343" s="321"/>
      <c r="L343" s="322"/>
      <c r="N343" s="139"/>
      <c r="O343" s="231"/>
      <c r="P343" s="231"/>
    </row>
    <row r="344" spans="1:16">
      <c r="A344" s="310"/>
      <c r="B344" s="311"/>
      <c r="C344" s="312"/>
      <c r="D344" s="313"/>
      <c r="E344" s="319"/>
      <c r="F344" s="319"/>
      <c r="G344" s="319"/>
      <c r="H344" s="319"/>
      <c r="I344" s="319"/>
      <c r="J344" s="307">
        <f t="shared" si="22"/>
        <v>0</v>
      </c>
      <c r="K344" s="321"/>
      <c r="L344" s="322"/>
      <c r="N344" s="139"/>
      <c r="O344" s="231"/>
      <c r="P344" s="231"/>
    </row>
    <row r="345" spans="1:16">
      <c r="A345" s="310"/>
      <c r="B345" s="311"/>
      <c r="C345" s="312"/>
      <c r="D345" s="313"/>
      <c r="E345" s="319"/>
      <c r="F345" s="319"/>
      <c r="G345" s="319"/>
      <c r="H345" s="319"/>
      <c r="I345" s="319"/>
      <c r="J345" s="307">
        <f t="shared" si="22"/>
        <v>0</v>
      </c>
      <c r="K345" s="321"/>
      <c r="L345" s="322"/>
      <c r="N345" s="139"/>
      <c r="O345" s="231"/>
      <c r="P345" s="231"/>
    </row>
    <row r="346" spans="1:16">
      <c r="A346" s="310"/>
      <c r="B346" s="311"/>
      <c r="C346" s="312"/>
      <c r="D346" s="313"/>
      <c r="E346" s="319"/>
      <c r="F346" s="319"/>
      <c r="G346" s="319"/>
      <c r="H346" s="319"/>
      <c r="I346" s="319"/>
      <c r="J346" s="307">
        <f t="shared" si="22"/>
        <v>0</v>
      </c>
      <c r="K346" s="321"/>
      <c r="L346" s="357"/>
      <c r="N346" s="139"/>
      <c r="O346" s="231"/>
      <c r="P346" s="231"/>
    </row>
    <row r="347" spans="1:16">
      <c r="A347" s="310"/>
      <c r="B347" s="311"/>
      <c r="C347" s="349"/>
      <c r="D347" s="350"/>
      <c r="E347" s="319"/>
      <c r="F347" s="319"/>
      <c r="G347" s="319"/>
      <c r="H347" s="319"/>
      <c r="I347" s="319"/>
      <c r="J347" s="307">
        <f t="shared" si="22"/>
        <v>0</v>
      </c>
      <c r="K347" s="321"/>
      <c r="L347" s="322"/>
      <c r="N347" s="139"/>
      <c r="O347" s="231"/>
      <c r="P347" s="231"/>
    </row>
    <row r="348" spans="1:16">
      <c r="A348" s="310"/>
      <c r="B348" s="311"/>
      <c r="C348" s="349"/>
      <c r="D348" s="351"/>
      <c r="E348" s="319"/>
      <c r="F348" s="319"/>
      <c r="G348" s="319"/>
      <c r="H348" s="319"/>
      <c r="I348" s="319"/>
      <c r="J348" s="307">
        <f t="shared" si="22"/>
        <v>0</v>
      </c>
      <c r="K348" s="321"/>
      <c r="L348" s="322"/>
      <c r="N348" s="139"/>
      <c r="O348" s="231"/>
      <c r="P348" s="231"/>
    </row>
    <row r="349" spans="1:16">
      <c r="A349" s="310"/>
      <c r="B349" s="311"/>
      <c r="C349" s="312"/>
      <c r="D349" s="313"/>
      <c r="E349" s="319"/>
      <c r="F349" s="319"/>
      <c r="G349" s="319"/>
      <c r="H349" s="319"/>
      <c r="I349" s="319"/>
      <c r="J349" s="307">
        <f t="shared" si="22"/>
        <v>0</v>
      </c>
      <c r="K349" s="321"/>
      <c r="L349" s="357"/>
      <c r="N349" s="139"/>
      <c r="O349" s="231"/>
      <c r="P349" s="231"/>
    </row>
    <row r="350" spans="1:16">
      <c r="A350" s="310"/>
      <c r="B350" s="311"/>
      <c r="C350" s="312"/>
      <c r="D350" s="313"/>
      <c r="E350" s="319"/>
      <c r="F350" s="319"/>
      <c r="G350" s="319"/>
      <c r="H350" s="319"/>
      <c r="I350" s="319"/>
      <c r="J350" s="307">
        <f t="shared" si="22"/>
        <v>0</v>
      </c>
      <c r="K350" s="321"/>
      <c r="L350" s="357"/>
      <c r="N350" s="139"/>
      <c r="O350" s="231"/>
      <c r="P350" s="231"/>
    </row>
    <row r="351" spans="1:12">
      <c r="A351" s="310"/>
      <c r="B351" s="314"/>
      <c r="C351" s="314"/>
      <c r="D351" s="314"/>
      <c r="E351" s="185">
        <f t="shared" ref="E351:I351" si="23">SUM(E335:E350)</f>
        <v>2830</v>
      </c>
      <c r="F351" s="185">
        <f t="shared" si="23"/>
        <v>400</v>
      </c>
      <c r="G351" s="185">
        <f t="shared" si="23"/>
        <v>170</v>
      </c>
      <c r="H351" s="185">
        <f t="shared" si="23"/>
        <v>120</v>
      </c>
      <c r="I351" s="185">
        <f t="shared" si="23"/>
        <v>0</v>
      </c>
      <c r="J351" s="307">
        <f t="shared" si="22"/>
        <v>3520</v>
      </c>
      <c r="K351" s="21"/>
      <c r="L351" s="322"/>
    </row>
    <row r="352" spans="1:10">
      <c r="A352" s="251"/>
      <c r="B352" s="252"/>
      <c r="C352" s="252"/>
      <c r="D352" s="252"/>
      <c r="E352" s="279"/>
      <c r="F352" s="279"/>
      <c r="G352" s="280"/>
      <c r="H352" s="280"/>
      <c r="I352" s="280"/>
      <c r="J352" s="301"/>
    </row>
    <row r="353" spans="1:10">
      <c r="A353" s="253"/>
      <c r="B353" s="252"/>
      <c r="C353" s="252"/>
      <c r="D353" s="252"/>
      <c r="E353" s="280"/>
      <c r="F353" s="280"/>
      <c r="G353" s="281"/>
      <c r="H353" s="281"/>
      <c r="I353" s="281"/>
      <c r="J353" s="268"/>
    </row>
    <row r="354" ht="13.9" spans="3:9">
      <c r="C354" s="254" t="s">
        <v>75</v>
      </c>
      <c r="D354" s="254"/>
      <c r="E354" s="254"/>
      <c r="F354" s="254"/>
      <c r="G354" s="254"/>
      <c r="H354" s="254"/>
      <c r="I354" s="254"/>
    </row>
    <row r="355" spans="1:12">
      <c r="A355" s="255" t="s">
        <v>76</v>
      </c>
      <c r="B355" s="256" t="s">
        <v>77</v>
      </c>
      <c r="C355" s="257"/>
      <c r="D355" s="257"/>
      <c r="E355" s="15" t="s">
        <v>78</v>
      </c>
      <c r="F355" s="15"/>
      <c r="G355" s="15"/>
      <c r="H355" s="15"/>
      <c r="I355" s="15"/>
      <c r="J355" s="15"/>
      <c r="K355" s="255" t="s">
        <v>59</v>
      </c>
      <c r="L355" s="302" t="s">
        <v>79</v>
      </c>
    </row>
    <row r="356" spans="1:12">
      <c r="A356" s="258"/>
      <c r="B356" s="259"/>
      <c r="C356" s="260"/>
      <c r="D356" s="260"/>
      <c r="E356" s="15" t="s">
        <v>53</v>
      </c>
      <c r="F356" s="15" t="s">
        <v>80</v>
      </c>
      <c r="G356" s="282" t="s">
        <v>81</v>
      </c>
      <c r="H356" s="23" t="s">
        <v>56</v>
      </c>
      <c r="I356" s="282" t="s">
        <v>82</v>
      </c>
      <c r="J356" s="174" t="s">
        <v>58</v>
      </c>
      <c r="K356" s="258"/>
      <c r="L356" s="303"/>
    </row>
    <row r="357" spans="1:12">
      <c r="A357" s="261"/>
      <c r="B357" s="315" t="s">
        <v>233</v>
      </c>
      <c r="C357" s="316"/>
      <c r="D357" s="316"/>
      <c r="E357" s="285">
        <v>0</v>
      </c>
      <c r="F357" s="285"/>
      <c r="G357" s="285"/>
      <c r="H357" s="286"/>
      <c r="I357" s="288"/>
      <c r="J357" s="287">
        <f>E357+F357+G357+H357+I357</f>
        <v>0</v>
      </c>
      <c r="K357" s="325" t="s">
        <v>21</v>
      </c>
      <c r="L357" s="326" t="s">
        <v>21</v>
      </c>
    </row>
    <row r="358" spans="1:12">
      <c r="A358" s="261"/>
      <c r="B358" s="315"/>
      <c r="C358" s="316"/>
      <c r="D358" s="316"/>
      <c r="E358" s="285"/>
      <c r="F358" s="285">
        <v>0</v>
      </c>
      <c r="G358" s="285"/>
      <c r="H358" s="286"/>
      <c r="I358" s="288"/>
      <c r="J358" s="287">
        <f>E358+F358+G358+H358+I358</f>
        <v>0</v>
      </c>
      <c r="K358" s="21"/>
      <c r="L358" s="327"/>
    </row>
    <row r="359" spans="1:12">
      <c r="A359" s="261"/>
      <c r="B359" s="315"/>
      <c r="C359" s="316"/>
      <c r="D359" s="316"/>
      <c r="E359" s="285"/>
      <c r="F359" s="285">
        <v>0</v>
      </c>
      <c r="G359" s="285"/>
      <c r="H359" s="286"/>
      <c r="I359" s="288"/>
      <c r="J359" s="287"/>
      <c r="K359" s="21"/>
      <c r="L359" s="327"/>
    </row>
    <row r="360" spans="1:12">
      <c r="A360" s="261"/>
      <c r="B360" s="315"/>
      <c r="C360" s="316"/>
      <c r="D360" s="316"/>
      <c r="E360" s="285"/>
      <c r="F360" s="285"/>
      <c r="G360" s="285"/>
      <c r="H360" s="286"/>
      <c r="I360" s="288"/>
      <c r="J360" s="287"/>
      <c r="K360" s="21"/>
      <c r="L360" s="327"/>
    </row>
    <row r="361" spans="1:12">
      <c r="A361" s="261"/>
      <c r="B361" s="315"/>
      <c r="C361" s="316"/>
      <c r="D361" s="316"/>
      <c r="E361" s="285"/>
      <c r="F361" s="285"/>
      <c r="G361" s="285"/>
      <c r="H361" s="286"/>
      <c r="I361" s="288"/>
      <c r="J361" s="287">
        <f t="shared" ref="J361:J367" si="24">E361+F361+G361+H361+I361</f>
        <v>0</v>
      </c>
      <c r="K361" s="21"/>
      <c r="L361" s="327"/>
    </row>
    <row r="362" spans="1:12">
      <c r="A362" s="261"/>
      <c r="B362" s="315"/>
      <c r="C362" s="316"/>
      <c r="D362" s="316"/>
      <c r="E362" s="285"/>
      <c r="F362" s="285"/>
      <c r="G362" s="287"/>
      <c r="H362" s="288"/>
      <c r="I362" s="288"/>
      <c r="J362" s="287">
        <f t="shared" si="24"/>
        <v>0</v>
      </c>
      <c r="K362" s="21"/>
      <c r="L362" s="327"/>
    </row>
    <row r="363" spans="1:12">
      <c r="A363" s="21"/>
      <c r="B363" s="266"/>
      <c r="C363" s="267"/>
      <c r="D363" s="267"/>
      <c r="E363" s="289">
        <f t="shared" ref="E363:I363" si="25">SUM(E357:E362)</f>
        <v>0</v>
      </c>
      <c r="F363" s="289">
        <f t="shared" si="25"/>
        <v>0</v>
      </c>
      <c r="G363" s="289">
        <f t="shared" si="25"/>
        <v>0</v>
      </c>
      <c r="H363" s="289">
        <f t="shared" si="25"/>
        <v>0</v>
      </c>
      <c r="I363" s="289">
        <f t="shared" si="25"/>
        <v>0</v>
      </c>
      <c r="J363" s="289">
        <f t="shared" si="24"/>
        <v>0</v>
      </c>
      <c r="K363" s="21"/>
      <c r="L363" s="327"/>
    </row>
    <row r="364" spans="1:10">
      <c r="A364" s="268"/>
      <c r="B364" s="252"/>
      <c r="C364" s="252"/>
      <c r="D364" s="252"/>
      <c r="E364" s="290"/>
      <c r="F364" s="290"/>
      <c r="G364" s="290"/>
      <c r="H364" s="290"/>
      <c r="I364" s="290"/>
      <c r="J364" s="268"/>
    </row>
    <row r="365" spans="1:10">
      <c r="A365" s="268"/>
      <c r="B365" s="252"/>
      <c r="C365" s="252"/>
      <c r="D365" s="252"/>
      <c r="E365" s="290"/>
      <c r="F365" s="290"/>
      <c r="G365" s="290"/>
      <c r="H365" s="185" t="s">
        <v>85</v>
      </c>
      <c r="I365" s="185"/>
      <c r="J365" s="347">
        <f>J351-J363</f>
        <v>3520</v>
      </c>
    </row>
    <row r="366" spans="1:10">
      <c r="A366" s="268"/>
      <c r="B366" s="252"/>
      <c r="C366" s="252"/>
      <c r="D366" s="252"/>
      <c r="E366" s="290"/>
      <c r="F366" s="290"/>
      <c r="G366" s="290"/>
      <c r="H366" s="290"/>
      <c r="I366" s="290"/>
      <c r="J366" s="268"/>
    </row>
    <row r="367" spans="1:11">
      <c r="A367" s="268"/>
      <c r="B367" s="198" t="s">
        <v>86</v>
      </c>
      <c r="C367" s="198"/>
      <c r="D367" s="199"/>
      <c r="E367" s="198" t="s">
        <v>87</v>
      </c>
      <c r="F367" s="198"/>
      <c r="G367" s="198"/>
      <c r="H367" s="198"/>
      <c r="I367" s="199"/>
      <c r="J367" s="198" t="s">
        <v>88</v>
      </c>
      <c r="K367" s="198"/>
    </row>
    <row r="368" spans="1:9">
      <c r="A368" s="268"/>
      <c r="C368" s="200"/>
      <c r="D368" s="200"/>
      <c r="E368" s="200"/>
      <c r="F368" s="200"/>
      <c r="G368" s="200"/>
      <c r="H368" s="200"/>
      <c r="I368" s="200"/>
    </row>
    <row r="369" spans="1:12">
      <c r="A369" s="268"/>
      <c r="B369" s="269" t="s">
        <v>17</v>
      </c>
      <c r="C369" s="269"/>
      <c r="D369" s="269"/>
      <c r="E369" s="291" t="s">
        <v>22</v>
      </c>
      <c r="F369" s="291"/>
      <c r="G369" s="291"/>
      <c r="H369" s="291"/>
      <c r="J369" s="308" t="s">
        <v>19</v>
      </c>
      <c r="K369" s="308"/>
      <c r="L369" s="308"/>
    </row>
    <row r="370" spans="1:11">
      <c r="A370" s="268"/>
      <c r="B370" s="198" t="s">
        <v>89</v>
      </c>
      <c r="C370" s="198"/>
      <c r="D370" s="199"/>
      <c r="E370" s="198" t="s">
        <v>90</v>
      </c>
      <c r="F370" s="198"/>
      <c r="G370" s="198"/>
      <c r="H370" s="198"/>
      <c r="J370" s="198" t="s">
        <v>91</v>
      </c>
      <c r="K370" s="198"/>
    </row>
  </sheetData>
  <mergeCells count="246">
    <mergeCell ref="D1:J1"/>
    <mergeCell ref="G2:J2"/>
    <mergeCell ref="B3:K3"/>
    <mergeCell ref="E6:I6"/>
    <mergeCell ref="J6:K6"/>
    <mergeCell ref="B7:D7"/>
    <mergeCell ref="B8:D8"/>
    <mergeCell ref="B9:D9"/>
    <mergeCell ref="B10:D10"/>
    <mergeCell ref="B15:D15"/>
    <mergeCell ref="B16:D16"/>
    <mergeCell ref="B17:D17"/>
    <mergeCell ref="B18:D18"/>
    <mergeCell ref="B19:D19"/>
    <mergeCell ref="C21:I21"/>
    <mergeCell ref="E22:J22"/>
    <mergeCell ref="B24:D24"/>
    <mergeCell ref="B25:D25"/>
    <mergeCell ref="B26:D26"/>
    <mergeCell ref="B27:D27"/>
    <mergeCell ref="B28:D28"/>
    <mergeCell ref="B29:D29"/>
    <mergeCell ref="B30:D30"/>
    <mergeCell ref="H31:I31"/>
    <mergeCell ref="B34:C34"/>
    <mergeCell ref="E34:G34"/>
    <mergeCell ref="J34:K34"/>
    <mergeCell ref="E36:G36"/>
    <mergeCell ref="J36:L36"/>
    <mergeCell ref="B37:C37"/>
    <mergeCell ref="E37:G37"/>
    <mergeCell ref="J37:K37"/>
    <mergeCell ref="D66:J66"/>
    <mergeCell ref="G67:J67"/>
    <mergeCell ref="B68:K68"/>
    <mergeCell ref="E71:I71"/>
    <mergeCell ref="J71:K71"/>
    <mergeCell ref="B72:D72"/>
    <mergeCell ref="B73:D73"/>
    <mergeCell ref="B74:D74"/>
    <mergeCell ref="B75:D75"/>
    <mergeCell ref="B86:D86"/>
    <mergeCell ref="B87:D87"/>
    <mergeCell ref="B88:D88"/>
    <mergeCell ref="B89:D89"/>
    <mergeCell ref="B90:D90"/>
    <mergeCell ref="C92:I92"/>
    <mergeCell ref="E93:J93"/>
    <mergeCell ref="B95:D95"/>
    <mergeCell ref="B96:D96"/>
    <mergeCell ref="B97:D97"/>
    <mergeCell ref="B98:D98"/>
    <mergeCell ref="B99:D99"/>
    <mergeCell ref="B100:D100"/>
    <mergeCell ref="B101:D101"/>
    <mergeCell ref="H102:I102"/>
    <mergeCell ref="B104:C104"/>
    <mergeCell ref="E104:G104"/>
    <mergeCell ref="J104:K104"/>
    <mergeCell ref="E106:G106"/>
    <mergeCell ref="J106:L106"/>
    <mergeCell ref="B107:C107"/>
    <mergeCell ref="E107:G107"/>
    <mergeCell ref="J107:K107"/>
    <mergeCell ref="D132:J132"/>
    <mergeCell ref="G133:J133"/>
    <mergeCell ref="B134:K134"/>
    <mergeCell ref="E137:I137"/>
    <mergeCell ref="J137:K137"/>
    <mergeCell ref="B138:D138"/>
    <mergeCell ref="B140:D140"/>
    <mergeCell ref="B141:D141"/>
    <mergeCell ref="B142:D142"/>
    <mergeCell ref="B147:C147"/>
    <mergeCell ref="B153:D153"/>
    <mergeCell ref="B154:D154"/>
    <mergeCell ref="B165:D165"/>
    <mergeCell ref="B166:D166"/>
    <mergeCell ref="C168:I168"/>
    <mergeCell ref="E169:J169"/>
    <mergeCell ref="B171:D171"/>
    <mergeCell ref="B172:D172"/>
    <mergeCell ref="B173:D173"/>
    <mergeCell ref="B174:D174"/>
    <mergeCell ref="B175:D175"/>
    <mergeCell ref="B176:D176"/>
    <mergeCell ref="B177:D177"/>
    <mergeCell ref="H178:I178"/>
    <mergeCell ref="B180:C180"/>
    <mergeCell ref="E180:G180"/>
    <mergeCell ref="J180:K180"/>
    <mergeCell ref="E182:G182"/>
    <mergeCell ref="J182:L182"/>
    <mergeCell ref="B183:C183"/>
    <mergeCell ref="E183:G183"/>
    <mergeCell ref="J183:K183"/>
    <mergeCell ref="D195:J195"/>
    <mergeCell ref="G196:J196"/>
    <mergeCell ref="B197:K197"/>
    <mergeCell ref="E200:I200"/>
    <mergeCell ref="J200:K200"/>
    <mergeCell ref="B201:D201"/>
    <mergeCell ref="B202:D202"/>
    <mergeCell ref="B203:D203"/>
    <mergeCell ref="B204:D204"/>
    <mergeCell ref="B215:D215"/>
    <mergeCell ref="B216:D216"/>
    <mergeCell ref="B217:D217"/>
    <mergeCell ref="B218:D218"/>
    <mergeCell ref="C220:I220"/>
    <mergeCell ref="E221:J221"/>
    <mergeCell ref="B223:D223"/>
    <mergeCell ref="B224:D224"/>
    <mergeCell ref="B225:D225"/>
    <mergeCell ref="B226:D226"/>
    <mergeCell ref="B227:D227"/>
    <mergeCell ref="B228:D228"/>
    <mergeCell ref="B229:D229"/>
    <mergeCell ref="H230:I230"/>
    <mergeCell ref="B232:C232"/>
    <mergeCell ref="E232:G232"/>
    <mergeCell ref="J232:K232"/>
    <mergeCell ref="E234:G234"/>
    <mergeCell ref="J234:L234"/>
    <mergeCell ref="B235:C235"/>
    <mergeCell ref="E235:G235"/>
    <mergeCell ref="J235:K235"/>
    <mergeCell ref="D241:J241"/>
    <mergeCell ref="G242:J242"/>
    <mergeCell ref="B243:K243"/>
    <mergeCell ref="E246:I246"/>
    <mergeCell ref="J246:K246"/>
    <mergeCell ref="B247:D247"/>
    <mergeCell ref="B248:D248"/>
    <mergeCell ref="B249:D249"/>
    <mergeCell ref="B250:D250"/>
    <mergeCell ref="B255:D255"/>
    <mergeCell ref="B256:D256"/>
    <mergeCell ref="C258:I258"/>
    <mergeCell ref="E259:J259"/>
    <mergeCell ref="B261:D261"/>
    <mergeCell ref="B262:D262"/>
    <mergeCell ref="B263:D263"/>
    <mergeCell ref="B264:D264"/>
    <mergeCell ref="B265:D265"/>
    <mergeCell ref="B266:D266"/>
    <mergeCell ref="B267:D267"/>
    <mergeCell ref="H268:I268"/>
    <mergeCell ref="B270:C270"/>
    <mergeCell ref="E270:G270"/>
    <mergeCell ref="J270:K270"/>
    <mergeCell ref="E272:G272"/>
    <mergeCell ref="J272:L272"/>
    <mergeCell ref="B273:C273"/>
    <mergeCell ref="E273:G273"/>
    <mergeCell ref="J273:K273"/>
    <mergeCell ref="D281:J281"/>
    <mergeCell ref="G282:J282"/>
    <mergeCell ref="B283:K283"/>
    <mergeCell ref="E286:I286"/>
    <mergeCell ref="J286:K286"/>
    <mergeCell ref="B287:D287"/>
    <mergeCell ref="B288:D288"/>
    <mergeCell ref="B289:D289"/>
    <mergeCell ref="B290:D290"/>
    <mergeCell ref="B299:D299"/>
    <mergeCell ref="B302:D302"/>
    <mergeCell ref="B303:D303"/>
    <mergeCell ref="B304:D304"/>
    <mergeCell ref="B305:D305"/>
    <mergeCell ref="C307:I307"/>
    <mergeCell ref="E308:J308"/>
    <mergeCell ref="B310:D310"/>
    <mergeCell ref="B311:D311"/>
    <mergeCell ref="B314:D314"/>
    <mergeCell ref="B315:D315"/>
    <mergeCell ref="B316:D316"/>
    <mergeCell ref="B317:D317"/>
    <mergeCell ref="H318:I318"/>
    <mergeCell ref="B320:C320"/>
    <mergeCell ref="E320:G320"/>
    <mergeCell ref="J320:K320"/>
    <mergeCell ref="E322:G322"/>
    <mergeCell ref="J322:L322"/>
    <mergeCell ref="B323:C323"/>
    <mergeCell ref="E323:G323"/>
    <mergeCell ref="J323:K323"/>
    <mergeCell ref="D328:J328"/>
    <mergeCell ref="G329:J329"/>
    <mergeCell ref="B330:K330"/>
    <mergeCell ref="E333:I333"/>
    <mergeCell ref="J333:K333"/>
    <mergeCell ref="B334:D334"/>
    <mergeCell ref="B335:D335"/>
    <mergeCell ref="B336:D336"/>
    <mergeCell ref="B337:D337"/>
    <mergeCell ref="B346:D346"/>
    <mergeCell ref="B349:D349"/>
    <mergeCell ref="B350:D350"/>
    <mergeCell ref="B351:D351"/>
    <mergeCell ref="B352:D352"/>
    <mergeCell ref="C354:I354"/>
    <mergeCell ref="E355:J355"/>
    <mergeCell ref="B357:D357"/>
    <mergeCell ref="B358:D358"/>
    <mergeCell ref="B361:D361"/>
    <mergeCell ref="B362:D362"/>
    <mergeCell ref="B363:D363"/>
    <mergeCell ref="B364:D364"/>
    <mergeCell ref="H365:I365"/>
    <mergeCell ref="B367:C367"/>
    <mergeCell ref="E367:G367"/>
    <mergeCell ref="J367:K367"/>
    <mergeCell ref="E369:G369"/>
    <mergeCell ref="J369:L369"/>
    <mergeCell ref="B370:C370"/>
    <mergeCell ref="E370:G370"/>
    <mergeCell ref="J370:K370"/>
    <mergeCell ref="A22:A23"/>
    <mergeCell ref="A93:A94"/>
    <mergeCell ref="A169:A170"/>
    <mergeCell ref="A221:A222"/>
    <mergeCell ref="A259:A260"/>
    <mergeCell ref="A308:A309"/>
    <mergeCell ref="A355:A356"/>
    <mergeCell ref="K22:K23"/>
    <mergeCell ref="K93:K94"/>
    <mergeCell ref="K169:K170"/>
    <mergeCell ref="K221:K222"/>
    <mergeCell ref="K259:K260"/>
    <mergeCell ref="K308:K309"/>
    <mergeCell ref="K355:K356"/>
    <mergeCell ref="L22:L23"/>
    <mergeCell ref="L93:L94"/>
    <mergeCell ref="L169:L170"/>
    <mergeCell ref="L221:L222"/>
    <mergeCell ref="L259:L260"/>
    <mergeCell ref="L308:L309"/>
    <mergeCell ref="L355:L356"/>
    <mergeCell ref="B355:D356"/>
    <mergeCell ref="B93:D94"/>
    <mergeCell ref="B22:D23"/>
    <mergeCell ref="B169:D170"/>
    <mergeCell ref="B221:D222"/>
    <mergeCell ref="B259:D260"/>
    <mergeCell ref="B308:D309"/>
  </mergeCells>
  <pageMargins left="0.708333333333333" right="0.708333333333333" top="0.747916666666667" bottom="0.747916666666667" header="0.314583333333333" footer="0.314583333333333"/>
  <pageSetup paperSize="1" scale="70" orientation="portrait" horizontalDpi="600" verticalDpi="600"/>
  <headerFooter>
    <oddHeader>&amp;Cm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2:I247"/>
  <sheetViews>
    <sheetView zoomScale="120" zoomScaleNormal="120" topLeftCell="A13" workbookViewId="0">
      <selection activeCell="B230" sqref="B230"/>
    </sheetView>
  </sheetViews>
  <sheetFormatPr defaultColWidth="10.954128440367" defaultRowHeight="15"/>
  <cols>
    <col min="1" max="1" width="5.42201834862385" customWidth="1"/>
    <col min="2" max="2" width="10.4220183486239" customWidth="1"/>
    <col min="3" max="3" width="11.5688073394495" customWidth="1"/>
    <col min="5" max="5" width="10.8532110091743" customWidth="1"/>
    <col min="6" max="6" width="9.70642201834862" customWidth="1"/>
    <col min="7" max="7" width="10" customWidth="1"/>
    <col min="8" max="8" width="9.28440366972477" customWidth="1"/>
    <col min="10" max="10" width="13.5688073394495" customWidth="1"/>
    <col min="11" max="11" width="13.1376146788991" customWidth="1"/>
    <col min="12" max="13" width="14.1376146788991" customWidth="1"/>
  </cols>
  <sheetData>
    <row r="2" ht="18.75" spans="3:7">
      <c r="C2" s="165"/>
      <c r="D2" s="33"/>
      <c r="E2" s="33"/>
      <c r="F2" s="33"/>
      <c r="G2" s="33"/>
    </row>
    <row r="3" ht="15.75" spans="3:5">
      <c r="C3" s="166" t="s">
        <v>284</v>
      </c>
      <c r="D3" s="167"/>
      <c r="E3" s="167"/>
    </row>
    <row r="4" ht="15.75" spans="2:9">
      <c r="B4" s="166" t="s">
        <v>285</v>
      </c>
      <c r="C4" s="168"/>
      <c r="D4" s="169">
        <v>18</v>
      </c>
      <c r="E4" s="203" t="s">
        <v>286</v>
      </c>
      <c r="F4" s="204" t="s">
        <v>287</v>
      </c>
      <c r="G4" s="205"/>
      <c r="I4" s="233"/>
    </row>
    <row r="5" ht="15.75" spans="2:9">
      <c r="B5" s="166"/>
      <c r="C5" s="168"/>
      <c r="D5" s="167"/>
      <c r="E5" s="167"/>
      <c r="F5" s="206"/>
      <c r="G5" s="206"/>
      <c r="I5" s="234"/>
    </row>
    <row r="6" ht="21" spans="1:9">
      <c r="A6" s="170"/>
      <c r="B6" s="171"/>
      <c r="C6" s="172" t="s">
        <v>53</v>
      </c>
      <c r="D6" s="172"/>
      <c r="E6" s="172"/>
      <c r="F6" s="172"/>
      <c r="G6" s="207"/>
      <c r="H6" s="208"/>
      <c r="I6" s="139"/>
    </row>
    <row r="7" spans="1:9">
      <c r="A7" s="170"/>
      <c r="B7" s="173" t="s">
        <v>288</v>
      </c>
      <c r="C7" s="174" t="s">
        <v>289</v>
      </c>
      <c r="D7" s="174" t="s">
        <v>290</v>
      </c>
      <c r="E7" s="209" t="s">
        <v>291</v>
      </c>
      <c r="F7" s="210"/>
      <c r="G7" s="174" t="s">
        <v>292</v>
      </c>
      <c r="H7" s="174"/>
      <c r="I7" s="139"/>
    </row>
    <row r="8" ht="15.75" spans="1:9">
      <c r="A8" s="170"/>
      <c r="B8" s="175">
        <f>'INGRESOS Y EGRESOS'!E18</f>
        <v>7475</v>
      </c>
      <c r="C8" s="176">
        <v>0</v>
      </c>
      <c r="D8" s="177">
        <f>B8+C8</f>
        <v>7475</v>
      </c>
      <c r="E8" s="211">
        <f>'INGRESOS Y EGRESOS'!E29</f>
        <v>5674</v>
      </c>
      <c r="F8" s="212"/>
      <c r="G8" s="213">
        <f>D8-E8</f>
        <v>1801</v>
      </c>
      <c r="H8" s="213"/>
      <c r="I8" s="139"/>
    </row>
    <row r="9" spans="1:9">
      <c r="A9" s="170"/>
      <c r="B9" s="178"/>
      <c r="C9" s="170"/>
      <c r="D9" s="170"/>
      <c r="E9" s="214"/>
      <c r="F9" s="214"/>
      <c r="G9" s="215"/>
      <c r="H9" s="215"/>
      <c r="I9" s="139"/>
    </row>
    <row r="10" ht="21" spans="1:9">
      <c r="A10" s="179"/>
      <c r="B10" s="139"/>
      <c r="C10" s="180" t="s">
        <v>293</v>
      </c>
      <c r="D10" s="180"/>
      <c r="E10" s="180"/>
      <c r="F10" s="180"/>
      <c r="G10" s="170"/>
      <c r="H10" s="139"/>
      <c r="I10" s="139"/>
    </row>
    <row r="11" spans="1:9">
      <c r="A11" s="139"/>
      <c r="B11" s="173" t="s">
        <v>294</v>
      </c>
      <c r="C11" s="174" t="s">
        <v>289</v>
      </c>
      <c r="D11" s="174" t="s">
        <v>290</v>
      </c>
      <c r="E11" s="216" t="s">
        <v>291</v>
      </c>
      <c r="F11" s="216"/>
      <c r="G11" s="174" t="s">
        <v>292</v>
      </c>
      <c r="H11" s="174"/>
      <c r="I11" s="139"/>
    </row>
    <row r="12" ht="15.75" spans="1:9">
      <c r="A12" s="139"/>
      <c r="B12" s="181">
        <f>'INGRESOS Y EGRESOS'!F18</f>
        <v>500</v>
      </c>
      <c r="C12" s="176">
        <v>0</v>
      </c>
      <c r="D12" s="177">
        <f>B12+C12</f>
        <v>500</v>
      </c>
      <c r="E12" s="217">
        <v>0</v>
      </c>
      <c r="F12" s="218"/>
      <c r="G12" s="219">
        <f>D12-E12</f>
        <v>500</v>
      </c>
      <c r="H12" s="219"/>
      <c r="I12" s="139"/>
    </row>
    <row r="13" ht="15.75" spans="1:9">
      <c r="A13" s="139"/>
      <c r="B13" s="182"/>
      <c r="C13" s="182"/>
      <c r="D13" s="182"/>
      <c r="E13" s="220"/>
      <c r="F13" s="220"/>
      <c r="G13" s="221"/>
      <c r="H13" s="222"/>
      <c r="I13" s="139"/>
    </row>
    <row r="14" ht="21" spans="1:9">
      <c r="A14" s="139"/>
      <c r="B14" s="183"/>
      <c r="C14" s="184" t="s">
        <v>295</v>
      </c>
      <c r="D14" s="184"/>
      <c r="E14" s="184"/>
      <c r="F14" s="184"/>
      <c r="G14" s="223"/>
      <c r="H14" s="191"/>
      <c r="I14" s="235"/>
    </row>
    <row r="15" ht="15.75" spans="1:9">
      <c r="A15" s="139"/>
      <c r="B15" s="185" t="s">
        <v>294</v>
      </c>
      <c r="C15" s="186" t="s">
        <v>289</v>
      </c>
      <c r="D15" s="186" t="s">
        <v>290</v>
      </c>
      <c r="E15" s="224" t="s">
        <v>291</v>
      </c>
      <c r="F15" s="224"/>
      <c r="G15" s="186" t="s">
        <v>292</v>
      </c>
      <c r="H15" s="186"/>
      <c r="I15" s="235"/>
    </row>
    <row r="16" ht="15.75" spans="1:9">
      <c r="A16" s="187"/>
      <c r="B16" s="181">
        <v>709</v>
      </c>
      <c r="C16" s="176"/>
      <c r="D16" s="177">
        <f>B16+C16</f>
        <v>709</v>
      </c>
      <c r="E16" s="217">
        <v>0</v>
      </c>
      <c r="F16" s="218"/>
      <c r="G16" s="219">
        <f>D16-E16</f>
        <v>709</v>
      </c>
      <c r="H16" s="219"/>
      <c r="I16" s="236"/>
    </row>
    <row r="17" ht="15.75" spans="1:9">
      <c r="A17" s="139"/>
      <c r="B17" s="188"/>
      <c r="C17" s="188"/>
      <c r="D17" s="188"/>
      <c r="E17" s="225"/>
      <c r="F17" s="225"/>
      <c r="G17" s="225"/>
      <c r="H17" s="226"/>
      <c r="I17" s="190"/>
    </row>
    <row r="18" ht="21" spans="1:9">
      <c r="A18" s="139"/>
      <c r="B18" s="188"/>
      <c r="C18" s="184" t="s">
        <v>296</v>
      </c>
      <c r="D18" s="184"/>
      <c r="E18" s="184"/>
      <c r="F18" s="184"/>
      <c r="G18" s="225"/>
      <c r="H18" s="226"/>
      <c r="I18" s="190"/>
    </row>
    <row r="19" ht="15.75" spans="1:9">
      <c r="A19" s="139"/>
      <c r="B19" s="185" t="s">
        <v>294</v>
      </c>
      <c r="C19" s="186" t="s">
        <v>289</v>
      </c>
      <c r="D19" s="186" t="s">
        <v>290</v>
      </c>
      <c r="E19" s="224" t="s">
        <v>291</v>
      </c>
      <c r="F19" s="224"/>
      <c r="G19" s="186" t="s">
        <v>292</v>
      </c>
      <c r="H19" s="186"/>
      <c r="I19" s="190"/>
    </row>
    <row r="20" ht="15.75" spans="1:9">
      <c r="A20" s="139"/>
      <c r="B20" s="181">
        <v>75</v>
      </c>
      <c r="C20" s="176">
        <v>0</v>
      </c>
      <c r="D20" s="177">
        <f>B20+C20</f>
        <v>75</v>
      </c>
      <c r="E20" s="217">
        <v>0</v>
      </c>
      <c r="F20" s="218"/>
      <c r="G20" s="219">
        <f>D20-E20</f>
        <v>75</v>
      </c>
      <c r="H20" s="219"/>
      <c r="I20" s="190"/>
    </row>
    <row r="21" ht="15.75" spans="1:9">
      <c r="A21" s="139"/>
      <c r="B21" s="189"/>
      <c r="C21" s="189"/>
      <c r="D21" s="190"/>
      <c r="E21" s="227"/>
      <c r="F21" s="227"/>
      <c r="G21" s="228"/>
      <c r="H21" s="228"/>
      <c r="I21" s="190"/>
    </row>
    <row r="22" ht="21" spans="1:9">
      <c r="A22" s="139"/>
      <c r="B22" s="191"/>
      <c r="C22" s="192" t="s">
        <v>297</v>
      </c>
      <c r="D22" s="192"/>
      <c r="E22" s="192"/>
      <c r="F22" s="192"/>
      <c r="G22" s="191"/>
      <c r="H22" s="191"/>
      <c r="I22" s="237"/>
    </row>
    <row r="23" spans="1:9">
      <c r="A23" s="193"/>
      <c r="B23" s="185" t="s">
        <v>294</v>
      </c>
      <c r="C23" s="186" t="s">
        <v>289</v>
      </c>
      <c r="D23" s="186" t="s">
        <v>290</v>
      </c>
      <c r="E23" s="224" t="s">
        <v>291</v>
      </c>
      <c r="F23" s="224"/>
      <c r="G23" s="186" t="s">
        <v>292</v>
      </c>
      <c r="H23" s="186"/>
      <c r="I23" s="238"/>
    </row>
    <row r="24" ht="15.75" spans="1:9">
      <c r="A24" s="193"/>
      <c r="B24" s="181">
        <v>128</v>
      </c>
      <c r="C24" s="176">
        <v>0</v>
      </c>
      <c r="D24" s="177">
        <f>B24+C24</f>
        <v>128</v>
      </c>
      <c r="E24" s="217">
        <v>0</v>
      </c>
      <c r="F24" s="218"/>
      <c r="G24" s="219">
        <f>D24-E24</f>
        <v>128</v>
      </c>
      <c r="H24" s="219"/>
      <c r="I24" s="238"/>
    </row>
    <row r="25" spans="1:9">
      <c r="A25" s="193"/>
      <c r="B25" s="194"/>
      <c r="C25" s="194"/>
      <c r="D25" s="194"/>
      <c r="E25" s="178"/>
      <c r="F25" s="229"/>
      <c r="G25" s="230"/>
      <c r="H25" s="231"/>
      <c r="I25" s="238"/>
    </row>
    <row r="26" spans="1:9">
      <c r="A26" s="193"/>
      <c r="B26" s="195"/>
      <c r="C26" s="195"/>
      <c r="D26" s="195"/>
      <c r="E26" s="195"/>
      <c r="F26" s="195"/>
      <c r="G26" s="195"/>
      <c r="H26" s="195"/>
      <c r="I26" s="238"/>
    </row>
    <row r="27" ht="15.75" spans="1:9">
      <c r="A27" s="193"/>
      <c r="B27" s="195"/>
      <c r="C27" s="196"/>
      <c r="D27" s="196"/>
      <c r="E27" s="173" t="s">
        <v>298</v>
      </c>
      <c r="F27" s="173"/>
      <c r="G27" s="232">
        <f>G8+G12+G16+G20+G24</f>
        <v>3213</v>
      </c>
      <c r="H27" s="232"/>
      <c r="I27" s="238"/>
    </row>
    <row r="28" ht="15.75" spans="1:9">
      <c r="A28" s="193"/>
      <c r="B28" s="197"/>
      <c r="C28" s="194"/>
      <c r="D28" s="194"/>
      <c r="E28" s="225"/>
      <c r="F28" s="225"/>
      <c r="G28" s="229"/>
      <c r="H28" s="229"/>
      <c r="I28" s="237"/>
    </row>
    <row r="29" ht="15.75" spans="1:9">
      <c r="A29" s="193"/>
      <c r="B29" s="197"/>
      <c r="C29" s="194"/>
      <c r="D29" s="194"/>
      <c r="E29" s="225"/>
      <c r="F29" s="225"/>
      <c r="G29" s="229"/>
      <c r="H29" s="229"/>
      <c r="I29" s="237"/>
    </row>
    <row r="30" spans="2:9">
      <c r="B30" s="198" t="s">
        <v>86</v>
      </c>
      <c r="C30" s="199"/>
      <c r="D30" s="198" t="s">
        <v>87</v>
      </c>
      <c r="E30" s="198"/>
      <c r="G30" s="198" t="s">
        <v>88</v>
      </c>
      <c r="H30" s="198"/>
      <c r="I30" s="198"/>
    </row>
    <row r="31" spans="2:7">
      <c r="B31" s="200"/>
      <c r="C31" s="200"/>
      <c r="D31" s="200"/>
      <c r="E31" s="200"/>
      <c r="F31" s="200"/>
      <c r="G31" s="200"/>
    </row>
    <row r="32" spans="1:9">
      <c r="A32" s="201" t="s">
        <v>17</v>
      </c>
      <c r="B32" s="201"/>
      <c r="C32" s="201"/>
      <c r="D32" s="202" t="s">
        <v>22</v>
      </c>
      <c r="E32" s="202"/>
      <c r="G32" s="195" t="s">
        <v>19</v>
      </c>
      <c r="H32" s="195"/>
      <c r="I32" s="195"/>
    </row>
    <row r="33" spans="2:9">
      <c r="B33" s="198" t="s">
        <v>89</v>
      </c>
      <c r="D33" s="198" t="s">
        <v>299</v>
      </c>
      <c r="E33" s="198"/>
      <c r="F33" s="199" t="s">
        <v>21</v>
      </c>
      <c r="G33" s="198" t="s">
        <v>91</v>
      </c>
      <c r="H33" s="198"/>
      <c r="I33" s="198"/>
    </row>
    <row r="34" spans="2:7">
      <c r="B34" s="198"/>
      <c r="C34" s="198"/>
      <c r="D34" s="198"/>
      <c r="E34" s="198"/>
      <c r="F34" s="199"/>
      <c r="G34" s="199"/>
    </row>
    <row r="46" ht="18.75" spans="3:7">
      <c r="C46" s="165"/>
      <c r="D46" s="33"/>
      <c r="E46" s="33"/>
      <c r="F46" s="33"/>
      <c r="G46" s="33"/>
    </row>
    <row r="47" ht="15.75" spans="3:5">
      <c r="C47" s="166" t="s">
        <v>284</v>
      </c>
      <c r="D47" s="167"/>
      <c r="E47" s="167"/>
    </row>
    <row r="48" ht="15.75" spans="2:9">
      <c r="B48" s="166" t="s">
        <v>285</v>
      </c>
      <c r="C48" s="168"/>
      <c r="D48" s="169">
        <v>18</v>
      </c>
      <c r="E48" s="203" t="s">
        <v>286</v>
      </c>
      <c r="F48" s="204" t="s">
        <v>300</v>
      </c>
      <c r="G48" s="205"/>
      <c r="I48" s="233"/>
    </row>
    <row r="49" ht="15.75" spans="2:9">
      <c r="B49" s="166"/>
      <c r="C49" s="168"/>
      <c r="D49" s="167"/>
      <c r="E49" s="167"/>
      <c r="F49" s="206"/>
      <c r="G49" s="206"/>
      <c r="I49" s="234"/>
    </row>
    <row r="50" ht="21" spans="1:9">
      <c r="A50" s="170"/>
      <c r="B50" s="171"/>
      <c r="C50" s="172" t="s">
        <v>53</v>
      </c>
      <c r="D50" s="172"/>
      <c r="E50" s="172"/>
      <c r="F50" s="172"/>
      <c r="G50" s="207"/>
      <c r="H50" s="208"/>
      <c r="I50" s="139"/>
    </row>
    <row r="51" spans="1:9">
      <c r="A51" s="170"/>
      <c r="B51" s="173" t="s">
        <v>288</v>
      </c>
      <c r="C51" s="174" t="s">
        <v>289</v>
      </c>
      <c r="D51" s="174" t="s">
        <v>290</v>
      </c>
      <c r="E51" s="209" t="s">
        <v>291</v>
      </c>
      <c r="F51" s="210"/>
      <c r="G51" s="174" t="s">
        <v>292</v>
      </c>
      <c r="H51" s="174"/>
      <c r="I51" s="139"/>
    </row>
    <row r="52" ht="15.75" spans="1:9">
      <c r="A52" s="170"/>
      <c r="B52" s="175">
        <f>'INGRESOS Y EGRESOS'!E89</f>
        <v>9550</v>
      </c>
      <c r="C52" s="176">
        <f>G8</f>
        <v>1801</v>
      </c>
      <c r="D52" s="177">
        <f>B52+C52</f>
        <v>11351</v>
      </c>
      <c r="E52" s="211">
        <f>'INGRESOS Y EGRESOS'!E100</f>
        <v>4844</v>
      </c>
      <c r="F52" s="212"/>
      <c r="G52" s="213">
        <f>D52-E52</f>
        <v>6507</v>
      </c>
      <c r="H52" s="213"/>
      <c r="I52" s="139"/>
    </row>
    <row r="53" spans="1:9">
      <c r="A53" s="170"/>
      <c r="B53" s="178"/>
      <c r="C53" s="170"/>
      <c r="D53" s="170"/>
      <c r="E53" s="214"/>
      <c r="F53" s="214"/>
      <c r="G53" s="215"/>
      <c r="H53" s="215"/>
      <c r="I53" s="139"/>
    </row>
    <row r="54" ht="21" spans="1:9">
      <c r="A54" s="179"/>
      <c r="B54" s="139"/>
      <c r="C54" s="180" t="s">
        <v>293</v>
      </c>
      <c r="D54" s="180"/>
      <c r="E54" s="180"/>
      <c r="F54" s="180"/>
      <c r="G54" s="170"/>
      <c r="H54" s="139"/>
      <c r="I54" s="139"/>
    </row>
    <row r="55" spans="1:9">
      <c r="A55" s="139"/>
      <c r="B55" s="173" t="s">
        <v>294</v>
      </c>
      <c r="C55" s="174" t="s">
        <v>289</v>
      </c>
      <c r="D55" s="174" t="s">
        <v>290</v>
      </c>
      <c r="E55" s="216" t="s">
        <v>291</v>
      </c>
      <c r="F55" s="216"/>
      <c r="G55" s="174" t="s">
        <v>292</v>
      </c>
      <c r="H55" s="174"/>
      <c r="I55" s="139"/>
    </row>
    <row r="56" ht="15.75" spans="1:9">
      <c r="A56" s="139"/>
      <c r="B56" s="181">
        <f>'INGRESOS Y EGRESOS'!F89</f>
        <v>1650</v>
      </c>
      <c r="C56" s="176">
        <f>G12</f>
        <v>500</v>
      </c>
      <c r="D56" s="177">
        <f>B56+C56</f>
        <v>2150</v>
      </c>
      <c r="E56" s="217">
        <v>0</v>
      </c>
      <c r="F56" s="218"/>
      <c r="G56" s="219">
        <f>D56-E56</f>
        <v>2150</v>
      </c>
      <c r="H56" s="219"/>
      <c r="I56" s="139"/>
    </row>
    <row r="57" ht="15.75" spans="1:9">
      <c r="A57" s="139"/>
      <c r="B57" s="182"/>
      <c r="C57" s="182"/>
      <c r="D57" s="182"/>
      <c r="E57" s="220"/>
      <c r="F57" s="220"/>
      <c r="G57" s="221"/>
      <c r="H57" s="222"/>
      <c r="I57" s="139"/>
    </row>
    <row r="58" ht="21" spans="1:9">
      <c r="A58" s="139"/>
      <c r="B58" s="183"/>
      <c r="C58" s="184" t="s">
        <v>295</v>
      </c>
      <c r="D58" s="184"/>
      <c r="E58" s="184"/>
      <c r="F58" s="184"/>
      <c r="G58" s="223"/>
      <c r="H58" s="191"/>
      <c r="I58" s="235"/>
    </row>
    <row r="59" ht="15.75" spans="1:9">
      <c r="A59" s="139"/>
      <c r="B59" s="185" t="s">
        <v>294</v>
      </c>
      <c r="C59" s="186" t="s">
        <v>289</v>
      </c>
      <c r="D59" s="186" t="s">
        <v>290</v>
      </c>
      <c r="E59" s="224" t="s">
        <v>291</v>
      </c>
      <c r="F59" s="224"/>
      <c r="G59" s="186" t="s">
        <v>292</v>
      </c>
      <c r="H59" s="186"/>
      <c r="I59" s="235"/>
    </row>
    <row r="60" ht="15.75" spans="1:9">
      <c r="A60" s="187"/>
      <c r="B60" s="181">
        <f>'INGRESOS Y EGRESOS'!G89</f>
        <v>440</v>
      </c>
      <c r="C60" s="176">
        <f>G16</f>
        <v>709</v>
      </c>
      <c r="D60" s="177">
        <f>B60+C60</f>
        <v>1149</v>
      </c>
      <c r="E60" s="217">
        <v>0</v>
      </c>
      <c r="F60" s="218"/>
      <c r="G60" s="219">
        <f>D60-E60</f>
        <v>1149</v>
      </c>
      <c r="H60" s="219"/>
      <c r="I60" s="236"/>
    </row>
    <row r="61" ht="15.75" spans="1:9">
      <c r="A61" s="139"/>
      <c r="B61" s="188"/>
      <c r="C61" s="188"/>
      <c r="D61" s="188"/>
      <c r="E61" s="225"/>
      <c r="F61" s="225"/>
      <c r="G61" s="225"/>
      <c r="H61" s="226"/>
      <c r="I61" s="190"/>
    </row>
    <row r="62" ht="21" spans="1:9">
      <c r="A62" s="139"/>
      <c r="B62" s="188"/>
      <c r="C62" s="184" t="s">
        <v>296</v>
      </c>
      <c r="D62" s="184"/>
      <c r="E62" s="184"/>
      <c r="F62" s="184"/>
      <c r="G62" s="225"/>
      <c r="H62" s="226"/>
      <c r="I62" s="190"/>
    </row>
    <row r="63" ht="15.75" spans="1:9">
      <c r="A63" s="139"/>
      <c r="B63" s="185" t="s">
        <v>294</v>
      </c>
      <c r="C63" s="186" t="s">
        <v>289</v>
      </c>
      <c r="D63" s="186" t="s">
        <v>290</v>
      </c>
      <c r="E63" s="224" t="s">
        <v>291</v>
      </c>
      <c r="F63" s="224"/>
      <c r="G63" s="186" t="s">
        <v>292</v>
      </c>
      <c r="H63" s="186"/>
      <c r="I63" s="190"/>
    </row>
    <row r="64" ht="15.75" spans="1:9">
      <c r="A64" s="139"/>
      <c r="B64" s="181">
        <f>'INGRESOS Y EGRESOS'!H89</f>
        <v>450</v>
      </c>
      <c r="C64" s="176">
        <f>G20</f>
        <v>75</v>
      </c>
      <c r="D64" s="177">
        <f>B64+C64</f>
        <v>525</v>
      </c>
      <c r="E64" s="217">
        <v>0</v>
      </c>
      <c r="F64" s="218"/>
      <c r="G64" s="219">
        <f>D64-E64</f>
        <v>525</v>
      </c>
      <c r="H64" s="219"/>
      <c r="I64" s="190"/>
    </row>
    <row r="65" ht="15.75" spans="1:9">
      <c r="A65" s="139"/>
      <c r="B65" s="189"/>
      <c r="C65" s="189"/>
      <c r="D65" s="190"/>
      <c r="E65" s="227"/>
      <c r="F65" s="227"/>
      <c r="G65" s="228"/>
      <c r="H65" s="228"/>
      <c r="I65" s="190"/>
    </row>
    <row r="66" ht="21" spans="1:9">
      <c r="A66" s="139"/>
      <c r="B66" s="191"/>
      <c r="C66" s="192" t="s">
        <v>297</v>
      </c>
      <c r="D66" s="192"/>
      <c r="E66" s="192"/>
      <c r="F66" s="192"/>
      <c r="G66" s="191"/>
      <c r="H66" s="191"/>
      <c r="I66" s="237"/>
    </row>
    <row r="67" spans="1:9">
      <c r="A67" s="193"/>
      <c r="B67" s="185" t="s">
        <v>294</v>
      </c>
      <c r="C67" s="186" t="s">
        <v>289</v>
      </c>
      <c r="D67" s="186" t="s">
        <v>290</v>
      </c>
      <c r="E67" s="224" t="s">
        <v>291</v>
      </c>
      <c r="F67" s="224"/>
      <c r="G67" s="186" t="s">
        <v>292</v>
      </c>
      <c r="H67" s="186"/>
      <c r="I67" s="238"/>
    </row>
    <row r="68" ht="15.75" spans="1:9">
      <c r="A68" s="193"/>
      <c r="B68" s="181">
        <f>'INGRESOS Y EGRESOS'!I89</f>
        <v>0</v>
      </c>
      <c r="C68" s="176">
        <f>G24</f>
        <v>128</v>
      </c>
      <c r="D68" s="177">
        <f>B68+C68</f>
        <v>128</v>
      </c>
      <c r="E68" s="217">
        <v>0</v>
      </c>
      <c r="F68" s="218"/>
      <c r="G68" s="219">
        <f>D68-E68</f>
        <v>128</v>
      </c>
      <c r="H68" s="219"/>
      <c r="I68" s="238"/>
    </row>
    <row r="69" spans="1:9">
      <c r="A69" s="193"/>
      <c r="B69" s="194"/>
      <c r="C69" s="194"/>
      <c r="D69" s="194"/>
      <c r="E69" s="178"/>
      <c r="F69" s="229"/>
      <c r="G69" s="230"/>
      <c r="H69" s="231"/>
      <c r="I69" s="238"/>
    </row>
    <row r="70" spans="1:9">
      <c r="A70" s="193"/>
      <c r="B70" s="195"/>
      <c r="C70" s="195"/>
      <c r="D70" s="195"/>
      <c r="E70" s="195"/>
      <c r="F70" s="195"/>
      <c r="G70" s="195"/>
      <c r="H70" s="195"/>
      <c r="I70" s="238"/>
    </row>
    <row r="71" ht="15.75" spans="1:9">
      <c r="A71" s="193"/>
      <c r="B71" s="195"/>
      <c r="C71" s="196"/>
      <c r="D71" s="196"/>
      <c r="E71" s="173" t="s">
        <v>298</v>
      </c>
      <c r="F71" s="173"/>
      <c r="G71" s="232">
        <f>G52+G56+G60+G64+G68</f>
        <v>10459</v>
      </c>
      <c r="H71" s="232"/>
      <c r="I71" s="238"/>
    </row>
    <row r="72" ht="15.75" spans="1:9">
      <c r="A72" s="193"/>
      <c r="B72" s="197"/>
      <c r="C72" s="194"/>
      <c r="D72" s="194"/>
      <c r="E72" s="225"/>
      <c r="F72" s="225"/>
      <c r="G72" s="229"/>
      <c r="H72" s="229"/>
      <c r="I72" s="237"/>
    </row>
    <row r="73" ht="15.75" spans="1:9">
      <c r="A73" s="193"/>
      <c r="B73" s="197"/>
      <c r="C73" s="194"/>
      <c r="D73" s="194"/>
      <c r="E73" s="225"/>
      <c r="F73" s="225"/>
      <c r="G73" s="229"/>
      <c r="H73" s="229"/>
      <c r="I73" s="237"/>
    </row>
    <row r="74" spans="2:9">
      <c r="B74" s="198" t="s">
        <v>86</v>
      </c>
      <c r="C74" s="199"/>
      <c r="D74" s="198" t="s">
        <v>87</v>
      </c>
      <c r="E74" s="198"/>
      <c r="G74" s="198" t="s">
        <v>88</v>
      </c>
      <c r="H74" s="198"/>
      <c r="I74" s="198"/>
    </row>
    <row r="75" spans="2:7">
      <c r="B75" s="200"/>
      <c r="C75" s="200"/>
      <c r="D75" s="200"/>
      <c r="E75" s="200"/>
      <c r="F75" s="200"/>
      <c r="G75" s="200"/>
    </row>
    <row r="76" spans="1:9">
      <c r="A76" s="201" t="s">
        <v>17</v>
      </c>
      <c r="B76" s="201"/>
      <c r="C76" s="201"/>
      <c r="D76" s="202" t="s">
        <v>22</v>
      </c>
      <c r="E76" s="202"/>
      <c r="G76" s="195" t="s">
        <v>19</v>
      </c>
      <c r="H76" s="195"/>
      <c r="I76" s="195"/>
    </row>
    <row r="77" spans="2:9">
      <c r="B77" s="198" t="s">
        <v>89</v>
      </c>
      <c r="D77" s="198" t="s">
        <v>299</v>
      </c>
      <c r="E77" s="198"/>
      <c r="F77" s="199" t="s">
        <v>21</v>
      </c>
      <c r="G77" s="198" t="s">
        <v>91</v>
      </c>
      <c r="H77" s="198"/>
      <c r="I77" s="198"/>
    </row>
    <row r="78" spans="2:7">
      <c r="B78" s="198"/>
      <c r="C78" s="198"/>
      <c r="D78" s="198"/>
      <c r="E78" s="198"/>
      <c r="F78" s="199"/>
      <c r="G78" s="199"/>
    </row>
    <row r="79" spans="2:7">
      <c r="B79" s="198"/>
      <c r="C79" s="198"/>
      <c r="D79" s="198"/>
      <c r="E79" s="198"/>
      <c r="F79" s="199"/>
      <c r="G79" s="199"/>
    </row>
    <row r="80" spans="2:7">
      <c r="B80" s="198"/>
      <c r="C80" s="198"/>
      <c r="D80" s="198"/>
      <c r="E80" s="198"/>
      <c r="F80" s="199"/>
      <c r="G80" s="199"/>
    </row>
    <row r="81" spans="2:7">
      <c r="B81" s="198"/>
      <c r="C81" s="198"/>
      <c r="D81" s="198"/>
      <c r="E81" s="198"/>
      <c r="F81" s="199"/>
      <c r="G81" s="199"/>
    </row>
    <row r="82" spans="2:7">
      <c r="B82" s="198"/>
      <c r="C82" s="198"/>
      <c r="D82" s="198"/>
      <c r="E82" s="198"/>
      <c r="F82" s="199"/>
      <c r="G82" s="199"/>
    </row>
    <row r="83" spans="2:7">
      <c r="B83" s="198"/>
      <c r="C83" s="198"/>
      <c r="D83" s="198"/>
      <c r="E83" s="198"/>
      <c r="F83" s="199"/>
      <c r="G83" s="199"/>
    </row>
    <row r="84" spans="2:7">
      <c r="B84" s="198"/>
      <c r="C84" s="198"/>
      <c r="D84" s="198"/>
      <c r="E84" s="198"/>
      <c r="F84" s="199"/>
      <c r="G84" s="199"/>
    </row>
    <row r="85" spans="2:7">
      <c r="B85" s="198"/>
      <c r="C85" s="198"/>
      <c r="D85" s="198"/>
      <c r="E85" s="198"/>
      <c r="F85" s="199"/>
      <c r="G85" s="199"/>
    </row>
    <row r="86" spans="2:7">
      <c r="B86" s="198"/>
      <c r="C86" s="198"/>
      <c r="D86" s="198"/>
      <c r="E86" s="198"/>
      <c r="F86" s="199"/>
      <c r="G86" s="199"/>
    </row>
    <row r="87" spans="2:7">
      <c r="B87" s="198"/>
      <c r="C87" s="198"/>
      <c r="D87" s="198"/>
      <c r="E87" s="198"/>
      <c r="F87" s="199"/>
      <c r="G87" s="199"/>
    </row>
    <row r="90" ht="18.75" spans="3:7">
      <c r="C90" s="165"/>
      <c r="D90" s="33"/>
      <c r="E90" s="33"/>
      <c r="F90" s="33"/>
      <c r="G90" s="33"/>
    </row>
    <row r="91" ht="15.75" spans="3:5">
      <c r="C91" s="166" t="s">
        <v>284</v>
      </c>
      <c r="D91" s="167"/>
      <c r="E91" s="167"/>
    </row>
    <row r="92" ht="15.75" spans="2:9">
      <c r="B92" s="166" t="s">
        <v>285</v>
      </c>
      <c r="C92" s="168"/>
      <c r="D92" s="169">
        <v>17</v>
      </c>
      <c r="E92" s="203" t="s">
        <v>286</v>
      </c>
      <c r="F92" s="204" t="s">
        <v>301</v>
      </c>
      <c r="G92" s="205"/>
      <c r="I92" s="233"/>
    </row>
    <row r="93" ht="15.75" spans="2:9">
      <c r="B93" s="166"/>
      <c r="C93" s="168"/>
      <c r="D93" s="167"/>
      <c r="E93" s="167"/>
      <c r="F93" s="206"/>
      <c r="G93" s="206"/>
      <c r="I93" s="234"/>
    </row>
    <row r="94" ht="21" spans="1:9">
      <c r="A94" s="170"/>
      <c r="B94" s="171"/>
      <c r="C94" s="172" t="s">
        <v>53</v>
      </c>
      <c r="D94" s="172"/>
      <c r="E94" s="172"/>
      <c r="F94" s="172"/>
      <c r="G94" s="207"/>
      <c r="H94" s="208"/>
      <c r="I94" s="139"/>
    </row>
    <row r="95" spans="1:9">
      <c r="A95" s="170"/>
      <c r="B95" s="173" t="s">
        <v>288</v>
      </c>
      <c r="C95" s="174" t="s">
        <v>289</v>
      </c>
      <c r="D95" s="174" t="s">
        <v>290</v>
      </c>
      <c r="E95" s="209" t="s">
        <v>291</v>
      </c>
      <c r="F95" s="210"/>
      <c r="G95" s="174" t="s">
        <v>292</v>
      </c>
      <c r="H95" s="174"/>
      <c r="I95" s="139"/>
    </row>
    <row r="96" ht="15.75" spans="1:9">
      <c r="A96" s="170"/>
      <c r="B96" s="175">
        <f>'INGRESOS Y EGRESOS'!E165</f>
        <v>17344.5</v>
      </c>
      <c r="C96" s="176">
        <f>G52</f>
        <v>6507</v>
      </c>
      <c r="D96" s="177">
        <f>B96+C96</f>
        <v>23851.5</v>
      </c>
      <c r="E96" s="211">
        <f>'INGRESOS Y EGRESOS'!E176</f>
        <v>8071</v>
      </c>
      <c r="F96" s="212"/>
      <c r="G96" s="213">
        <f>D96-E96</f>
        <v>15780.5</v>
      </c>
      <c r="H96" s="213"/>
      <c r="I96" s="139"/>
    </row>
    <row r="97" spans="1:9">
      <c r="A97" s="170"/>
      <c r="B97" s="178"/>
      <c r="C97" s="170"/>
      <c r="D97" s="170"/>
      <c r="E97" s="214"/>
      <c r="F97" s="214"/>
      <c r="G97" s="215"/>
      <c r="H97" s="215"/>
      <c r="I97" s="139"/>
    </row>
    <row r="98" ht="21" spans="1:9">
      <c r="A98" s="179"/>
      <c r="B98" s="139"/>
      <c r="C98" s="180" t="s">
        <v>293</v>
      </c>
      <c r="D98" s="180"/>
      <c r="E98" s="180"/>
      <c r="F98" s="180"/>
      <c r="G98" s="170"/>
      <c r="H98" s="139"/>
      <c r="I98" s="139"/>
    </row>
    <row r="99" spans="1:9">
      <c r="A99" s="139"/>
      <c r="B99" s="173" t="s">
        <v>294</v>
      </c>
      <c r="C99" s="174" t="s">
        <v>289</v>
      </c>
      <c r="D99" s="174" t="s">
        <v>290</v>
      </c>
      <c r="E99" s="216" t="s">
        <v>291</v>
      </c>
      <c r="F99" s="216"/>
      <c r="G99" s="174" t="s">
        <v>292</v>
      </c>
      <c r="H99" s="174"/>
      <c r="I99" s="139"/>
    </row>
    <row r="100" ht="15.75" spans="1:9">
      <c r="A100" s="139"/>
      <c r="B100" s="181">
        <f>'INGRESOS Y EGRESOS'!F165</f>
        <v>7644</v>
      </c>
      <c r="C100" s="176">
        <f>G56</f>
        <v>2150</v>
      </c>
      <c r="D100" s="177">
        <f>B100+C100</f>
        <v>9794</v>
      </c>
      <c r="E100" s="217">
        <v>0</v>
      </c>
      <c r="F100" s="218"/>
      <c r="G100" s="219">
        <f>D100-E100</f>
        <v>9794</v>
      </c>
      <c r="H100" s="219"/>
      <c r="I100" s="139"/>
    </row>
    <row r="101" ht="15.75" spans="1:9">
      <c r="A101" s="139"/>
      <c r="B101" s="182"/>
      <c r="C101" s="182"/>
      <c r="D101" s="182"/>
      <c r="E101" s="220"/>
      <c r="F101" s="220"/>
      <c r="G101" s="221"/>
      <c r="H101" s="222"/>
      <c r="I101" s="139"/>
    </row>
    <row r="102" ht="21" spans="1:9">
      <c r="A102" s="139"/>
      <c r="B102" s="183"/>
      <c r="C102" s="184" t="s">
        <v>295</v>
      </c>
      <c r="D102" s="184"/>
      <c r="E102" s="184"/>
      <c r="F102" s="184"/>
      <c r="G102" s="223"/>
      <c r="H102" s="191"/>
      <c r="I102" s="235"/>
    </row>
    <row r="103" ht="15.75" spans="1:9">
      <c r="A103" s="139"/>
      <c r="B103" s="185" t="s">
        <v>294</v>
      </c>
      <c r="C103" s="186" t="s">
        <v>289</v>
      </c>
      <c r="D103" s="186" t="s">
        <v>290</v>
      </c>
      <c r="E103" s="224" t="s">
        <v>291</v>
      </c>
      <c r="F103" s="224"/>
      <c r="G103" s="186" t="s">
        <v>292</v>
      </c>
      <c r="H103" s="186"/>
      <c r="I103" s="235"/>
    </row>
    <row r="104" ht="15.75" spans="1:9">
      <c r="A104" s="187"/>
      <c r="B104" s="181">
        <f>'INGRESOS Y EGRESOS'!G165</f>
        <v>533</v>
      </c>
      <c r="C104" s="176">
        <f>G60</f>
        <v>1149</v>
      </c>
      <c r="D104" s="177">
        <f>B104+C104</f>
        <v>1682</v>
      </c>
      <c r="E104" s="217">
        <v>0</v>
      </c>
      <c r="F104" s="218"/>
      <c r="G104" s="219">
        <f>D104-E104</f>
        <v>1682</v>
      </c>
      <c r="H104" s="219"/>
      <c r="I104" s="236"/>
    </row>
    <row r="105" ht="15.75" spans="1:9">
      <c r="A105" s="139"/>
      <c r="B105" s="188"/>
      <c r="C105" s="188"/>
      <c r="D105" s="188"/>
      <c r="E105" s="225"/>
      <c r="F105" s="225"/>
      <c r="G105" s="225"/>
      <c r="H105" s="226"/>
      <c r="I105" s="190"/>
    </row>
    <row r="106" ht="21" spans="1:9">
      <c r="A106" s="139"/>
      <c r="B106" s="188"/>
      <c r="C106" s="184" t="s">
        <v>296</v>
      </c>
      <c r="D106" s="184"/>
      <c r="E106" s="184"/>
      <c r="F106" s="184"/>
      <c r="G106" s="225"/>
      <c r="H106" s="226"/>
      <c r="I106" s="190"/>
    </row>
    <row r="107" ht="15.75" spans="1:9">
      <c r="A107" s="139"/>
      <c r="B107" s="185" t="s">
        <v>294</v>
      </c>
      <c r="C107" s="186" t="s">
        <v>289</v>
      </c>
      <c r="D107" s="186" t="s">
        <v>290</v>
      </c>
      <c r="E107" s="224" t="s">
        <v>291</v>
      </c>
      <c r="F107" s="224"/>
      <c r="G107" s="186" t="s">
        <v>292</v>
      </c>
      <c r="H107" s="186"/>
      <c r="I107" s="190"/>
    </row>
    <row r="108" ht="15.75" spans="1:9">
      <c r="A108" s="139"/>
      <c r="B108" s="181">
        <f>'INGRESOS Y EGRESOS'!H165</f>
        <v>375</v>
      </c>
      <c r="C108" s="176">
        <f>G64</f>
        <v>525</v>
      </c>
      <c r="D108" s="177">
        <f>B108+C108</f>
        <v>900</v>
      </c>
      <c r="E108" s="217">
        <v>0</v>
      </c>
      <c r="F108" s="218"/>
      <c r="G108" s="219">
        <f>D108-E108</f>
        <v>900</v>
      </c>
      <c r="H108" s="219"/>
      <c r="I108" s="190"/>
    </row>
    <row r="109" ht="15.75" spans="1:9">
      <c r="A109" s="139"/>
      <c r="B109" s="189"/>
      <c r="C109" s="189"/>
      <c r="D109" s="190"/>
      <c r="E109" s="227"/>
      <c r="F109" s="227"/>
      <c r="G109" s="228"/>
      <c r="H109" s="228"/>
      <c r="I109" s="190"/>
    </row>
    <row r="110" ht="21" spans="1:9">
      <c r="A110" s="139"/>
      <c r="B110" s="191"/>
      <c r="C110" s="192" t="s">
        <v>297</v>
      </c>
      <c r="D110" s="192"/>
      <c r="E110" s="192"/>
      <c r="F110" s="192"/>
      <c r="G110" s="191"/>
      <c r="H110" s="191"/>
      <c r="I110" s="237"/>
    </row>
    <row r="111" spans="1:9">
      <c r="A111" s="193"/>
      <c r="B111" s="185" t="s">
        <v>294</v>
      </c>
      <c r="C111" s="186" t="s">
        <v>289</v>
      </c>
      <c r="D111" s="186" t="s">
        <v>290</v>
      </c>
      <c r="E111" s="224" t="s">
        <v>291</v>
      </c>
      <c r="F111" s="224"/>
      <c r="G111" s="186" t="s">
        <v>292</v>
      </c>
      <c r="H111" s="186"/>
      <c r="I111" s="238"/>
    </row>
    <row r="112" ht="15.75" spans="1:9">
      <c r="A112" s="193"/>
      <c r="B112" s="181">
        <f>'INGRESOS Y EGRESOS'!I165</f>
        <v>256</v>
      </c>
      <c r="C112" s="176">
        <f>G68</f>
        <v>128</v>
      </c>
      <c r="D112" s="177">
        <f>B112+C112</f>
        <v>384</v>
      </c>
      <c r="E112" s="217">
        <v>0</v>
      </c>
      <c r="F112" s="218"/>
      <c r="G112" s="219">
        <f>D112-E112</f>
        <v>384</v>
      </c>
      <c r="H112" s="219"/>
      <c r="I112" s="238"/>
    </row>
    <row r="113" spans="1:9">
      <c r="A113" s="193"/>
      <c r="B113" s="194"/>
      <c r="C113" s="194"/>
      <c r="D113" s="194"/>
      <c r="E113" s="178"/>
      <c r="F113" s="229"/>
      <c r="G113" s="230"/>
      <c r="H113" s="231"/>
      <c r="I113" s="238"/>
    </row>
    <row r="114" spans="1:9">
      <c r="A114" s="193"/>
      <c r="B114" s="195"/>
      <c r="C114" s="195"/>
      <c r="D114" s="195"/>
      <c r="E114" s="195"/>
      <c r="F114" s="195"/>
      <c r="G114" s="195"/>
      <c r="H114" s="195"/>
      <c r="I114" s="238"/>
    </row>
    <row r="115" ht="15.75" spans="1:9">
      <c r="A115" s="193"/>
      <c r="B115" s="195"/>
      <c r="C115" s="196"/>
      <c r="D115" s="196"/>
      <c r="E115" s="173" t="s">
        <v>298</v>
      </c>
      <c r="F115" s="173"/>
      <c r="G115" s="232">
        <f>G96+G100+G104+G108+G112</f>
        <v>28540.5</v>
      </c>
      <c r="H115" s="232"/>
      <c r="I115" s="238"/>
    </row>
    <row r="116" ht="15.75" spans="1:9">
      <c r="A116" s="193"/>
      <c r="B116" s="197"/>
      <c r="C116" s="194"/>
      <c r="D116" s="194"/>
      <c r="E116" s="225"/>
      <c r="F116" s="225"/>
      <c r="G116" s="229"/>
      <c r="H116" s="229"/>
      <c r="I116" s="237"/>
    </row>
    <row r="117" ht="15.75" spans="1:9">
      <c r="A117" s="193"/>
      <c r="B117" s="197"/>
      <c r="C117" s="194"/>
      <c r="D117" s="194"/>
      <c r="E117" s="225"/>
      <c r="F117" s="225"/>
      <c r="G117" s="229"/>
      <c r="H117" s="229"/>
      <c r="I117" s="237"/>
    </row>
    <row r="118" spans="2:9">
      <c r="B118" s="198" t="s">
        <v>86</v>
      </c>
      <c r="C118" s="199"/>
      <c r="D118" s="198" t="s">
        <v>87</v>
      </c>
      <c r="E118" s="198"/>
      <c r="G118" s="198" t="s">
        <v>88</v>
      </c>
      <c r="H118" s="198"/>
      <c r="I118" s="198"/>
    </row>
    <row r="119" spans="2:7">
      <c r="B119" s="200"/>
      <c r="C119" s="200"/>
      <c r="D119" s="200"/>
      <c r="E119" s="200"/>
      <c r="F119" s="200"/>
      <c r="G119" s="200"/>
    </row>
    <row r="120" spans="1:9">
      <c r="A120" s="201" t="s">
        <v>17</v>
      </c>
      <c r="B120" s="201"/>
      <c r="C120" s="201"/>
      <c r="D120" s="202" t="s">
        <v>22</v>
      </c>
      <c r="E120" s="202"/>
      <c r="G120" s="195" t="s">
        <v>19</v>
      </c>
      <c r="H120" s="195"/>
      <c r="I120" s="195"/>
    </row>
    <row r="121" spans="2:9">
      <c r="B121" s="198" t="s">
        <v>89</v>
      </c>
      <c r="D121" s="198" t="s">
        <v>299</v>
      </c>
      <c r="E121" s="198"/>
      <c r="F121" s="199" t="s">
        <v>21</v>
      </c>
      <c r="G121" s="198" t="s">
        <v>91</v>
      </c>
      <c r="H121" s="198"/>
      <c r="I121" s="198"/>
    </row>
    <row r="122" spans="2:9">
      <c r="B122" s="198"/>
      <c r="D122" s="198"/>
      <c r="E122" s="198"/>
      <c r="F122" s="199"/>
      <c r="G122" s="198"/>
      <c r="H122" s="198"/>
      <c r="I122" s="198"/>
    </row>
    <row r="123" spans="2:9">
      <c r="B123" s="198"/>
      <c r="D123" s="198"/>
      <c r="E123" s="198"/>
      <c r="F123" s="199"/>
      <c r="G123" s="198"/>
      <c r="H123" s="198"/>
      <c r="I123" s="198"/>
    </row>
    <row r="124" spans="2:9">
      <c r="B124" s="198"/>
      <c r="D124" s="198"/>
      <c r="E124" s="198"/>
      <c r="F124" s="199"/>
      <c r="G124" s="198"/>
      <c r="H124" s="198"/>
      <c r="I124" s="198"/>
    </row>
    <row r="125" spans="2:9">
      <c r="B125" s="198"/>
      <c r="D125" s="198"/>
      <c r="E125" s="198"/>
      <c r="F125" s="199"/>
      <c r="G125" s="198"/>
      <c r="H125" s="198"/>
      <c r="I125" s="198"/>
    </row>
    <row r="126" spans="2:9">
      <c r="B126" s="198"/>
      <c r="D126" s="198"/>
      <c r="E126" s="198"/>
      <c r="F126" s="199"/>
      <c r="G126" s="198"/>
      <c r="H126" s="198"/>
      <c r="I126" s="198"/>
    </row>
    <row r="127" spans="2:9">
      <c r="B127" s="198"/>
      <c r="D127" s="198"/>
      <c r="E127" s="198"/>
      <c r="F127" s="199"/>
      <c r="G127" s="198"/>
      <c r="H127" s="198"/>
      <c r="I127" s="198"/>
    </row>
    <row r="128" spans="2:9">
      <c r="B128" s="198"/>
      <c r="D128" s="198"/>
      <c r="E128" s="198"/>
      <c r="F128" s="199"/>
      <c r="G128" s="198"/>
      <c r="H128" s="198"/>
      <c r="I128" s="198"/>
    </row>
    <row r="129" spans="2:9">
      <c r="B129" s="198"/>
      <c r="D129" s="198"/>
      <c r="E129" s="198"/>
      <c r="F129" s="199"/>
      <c r="G129" s="198"/>
      <c r="H129" s="198"/>
      <c r="I129" s="198"/>
    </row>
    <row r="130" spans="2:9">
      <c r="B130" s="198"/>
      <c r="D130" s="198"/>
      <c r="E130" s="198"/>
      <c r="F130" s="199"/>
      <c r="G130" s="198"/>
      <c r="H130" s="198"/>
      <c r="I130" s="198"/>
    </row>
    <row r="131" spans="2:9">
      <c r="B131" s="198"/>
      <c r="D131" s="198"/>
      <c r="E131" s="198"/>
      <c r="F131" s="199"/>
      <c r="G131" s="198"/>
      <c r="H131" s="198"/>
      <c r="I131" s="198"/>
    </row>
    <row r="132" spans="2:7">
      <c r="B132" s="198"/>
      <c r="C132" s="198"/>
      <c r="D132" s="198"/>
      <c r="E132" s="198"/>
      <c r="F132" s="199"/>
      <c r="G132" s="199"/>
    </row>
    <row r="134" ht="18.75" spans="3:7">
      <c r="C134" s="165"/>
      <c r="D134" s="33"/>
      <c r="E134" s="33"/>
      <c r="F134" s="33"/>
      <c r="G134" s="33"/>
    </row>
    <row r="135" ht="15.75" spans="3:5">
      <c r="C135" s="166" t="s">
        <v>284</v>
      </c>
      <c r="D135" s="167"/>
      <c r="E135" s="167"/>
    </row>
    <row r="136" ht="15.75" spans="2:9">
      <c r="B136" s="166" t="s">
        <v>285</v>
      </c>
      <c r="C136" s="168"/>
      <c r="D136" s="169">
        <v>16</v>
      </c>
      <c r="E136" s="203" t="s">
        <v>286</v>
      </c>
      <c r="F136" s="204" t="s">
        <v>302</v>
      </c>
      <c r="G136" s="205"/>
      <c r="I136" s="233"/>
    </row>
    <row r="137" ht="15.75" spans="2:9">
      <c r="B137" s="166"/>
      <c r="C137" s="168"/>
      <c r="D137" s="167"/>
      <c r="E137" s="167"/>
      <c r="F137" s="206"/>
      <c r="G137" s="206"/>
      <c r="I137" s="234"/>
    </row>
    <row r="138" ht="21" spans="1:9">
      <c r="A138" s="170"/>
      <c r="B138" s="171"/>
      <c r="C138" s="172" t="s">
        <v>53</v>
      </c>
      <c r="D138" s="172"/>
      <c r="E138" s="172"/>
      <c r="F138" s="172"/>
      <c r="G138" s="207"/>
      <c r="H138" s="208"/>
      <c r="I138" s="139"/>
    </row>
    <row r="139" spans="1:9">
      <c r="A139" s="170"/>
      <c r="B139" s="173" t="s">
        <v>288</v>
      </c>
      <c r="C139" s="174" t="s">
        <v>289</v>
      </c>
      <c r="D139" s="174" t="s">
        <v>290</v>
      </c>
      <c r="E139" s="209" t="s">
        <v>291</v>
      </c>
      <c r="F139" s="210"/>
      <c r="G139" s="174" t="s">
        <v>292</v>
      </c>
      <c r="H139" s="174"/>
      <c r="I139" s="139"/>
    </row>
    <row r="140" ht="15.75" spans="1:9">
      <c r="A140" s="170"/>
      <c r="B140" s="175">
        <f>'INGRESOS Y EGRESOS'!E217</f>
        <v>4275</v>
      </c>
      <c r="C140" s="176">
        <f>G96</f>
        <v>15780.5</v>
      </c>
      <c r="D140" s="177">
        <f>B140+C140</f>
        <v>20055.5</v>
      </c>
      <c r="E140" s="211">
        <f>'INGRESOS Y EGRESOS'!E228</f>
        <v>5014</v>
      </c>
      <c r="F140" s="212"/>
      <c r="G140" s="213">
        <f>D140-E140</f>
        <v>15041.5</v>
      </c>
      <c r="H140" s="213"/>
      <c r="I140" s="139"/>
    </row>
    <row r="141" spans="1:9">
      <c r="A141" s="170"/>
      <c r="B141" s="178"/>
      <c r="C141" s="170"/>
      <c r="D141" s="170"/>
      <c r="E141" s="214"/>
      <c r="F141" s="214"/>
      <c r="G141" s="215"/>
      <c r="H141" s="215"/>
      <c r="I141" s="139"/>
    </row>
    <row r="142" ht="21" spans="1:9">
      <c r="A142" s="179"/>
      <c r="B142" s="139"/>
      <c r="C142" s="180" t="s">
        <v>293</v>
      </c>
      <c r="D142" s="180"/>
      <c r="E142" s="180"/>
      <c r="F142" s="180"/>
      <c r="G142" s="170"/>
      <c r="H142" s="139"/>
      <c r="I142" s="139"/>
    </row>
    <row r="143" spans="1:9">
      <c r="A143" s="139"/>
      <c r="B143" s="173" t="s">
        <v>294</v>
      </c>
      <c r="C143" s="174" t="s">
        <v>289</v>
      </c>
      <c r="D143" s="174" t="s">
        <v>290</v>
      </c>
      <c r="E143" s="216" t="s">
        <v>291</v>
      </c>
      <c r="F143" s="216"/>
      <c r="G143" s="174" t="s">
        <v>292</v>
      </c>
      <c r="H143" s="174"/>
      <c r="I143" s="139"/>
    </row>
    <row r="144" ht="15.75" spans="1:9">
      <c r="A144" s="139"/>
      <c r="B144" s="181">
        <f>'INGRESOS Y EGRESOS'!F217</f>
        <v>750</v>
      </c>
      <c r="C144" s="176">
        <f>G100</f>
        <v>9794</v>
      </c>
      <c r="D144" s="177">
        <f>B144+C144</f>
        <v>10544</v>
      </c>
      <c r="E144" s="217">
        <v>0</v>
      </c>
      <c r="F144" s="218"/>
      <c r="G144" s="219">
        <f>D144-E144</f>
        <v>10544</v>
      </c>
      <c r="H144" s="219"/>
      <c r="I144" s="139"/>
    </row>
    <row r="145" ht="15.75" spans="1:9">
      <c r="A145" s="139"/>
      <c r="B145" s="182"/>
      <c r="C145" s="182"/>
      <c r="D145" s="182"/>
      <c r="E145" s="220"/>
      <c r="F145" s="220"/>
      <c r="G145" s="221"/>
      <c r="H145" s="222"/>
      <c r="I145" s="139"/>
    </row>
    <row r="146" ht="21" spans="1:9">
      <c r="A146" s="139"/>
      <c r="B146" s="183"/>
      <c r="C146" s="184" t="s">
        <v>295</v>
      </c>
      <c r="D146" s="184"/>
      <c r="E146" s="184"/>
      <c r="F146" s="184"/>
      <c r="G146" s="223"/>
      <c r="H146" s="191"/>
      <c r="I146" s="235"/>
    </row>
    <row r="147" ht="15.75" spans="1:9">
      <c r="A147" s="139"/>
      <c r="B147" s="185" t="s">
        <v>294</v>
      </c>
      <c r="C147" s="186" t="s">
        <v>289</v>
      </c>
      <c r="D147" s="186" t="s">
        <v>290</v>
      </c>
      <c r="E147" s="224" t="s">
        <v>291</v>
      </c>
      <c r="F147" s="224"/>
      <c r="G147" s="186" t="s">
        <v>292</v>
      </c>
      <c r="H147" s="186"/>
      <c r="I147" s="235"/>
    </row>
    <row r="148" ht="15.75" spans="1:9">
      <c r="A148" s="187"/>
      <c r="B148" s="181">
        <f>'INGRESOS Y EGRESOS'!G217</f>
        <v>1100</v>
      </c>
      <c r="C148" s="176">
        <f>G104</f>
        <v>1682</v>
      </c>
      <c r="D148" s="177">
        <f>B148+C148</f>
        <v>2782</v>
      </c>
      <c r="E148" s="217">
        <f>'INGRESOS Y EGRESOS'!G228</f>
        <v>2000</v>
      </c>
      <c r="F148" s="218"/>
      <c r="G148" s="219">
        <f>D148-E148</f>
        <v>782</v>
      </c>
      <c r="H148" s="219"/>
      <c r="I148" s="236"/>
    </row>
    <row r="149" ht="15.75" spans="1:9">
      <c r="A149" s="139"/>
      <c r="B149" s="188"/>
      <c r="C149" s="188"/>
      <c r="D149" s="188"/>
      <c r="E149" s="225"/>
      <c r="F149" s="225"/>
      <c r="G149" s="225"/>
      <c r="H149" s="226"/>
      <c r="I149" s="190"/>
    </row>
    <row r="150" ht="21" spans="1:9">
      <c r="A150" s="139"/>
      <c r="B150" s="188"/>
      <c r="C150" s="184" t="s">
        <v>296</v>
      </c>
      <c r="D150" s="184"/>
      <c r="E150" s="184"/>
      <c r="F150" s="184"/>
      <c r="G150" s="225"/>
      <c r="H150" s="226"/>
      <c r="I150" s="190"/>
    </row>
    <row r="151" ht="15.75" spans="1:9">
      <c r="A151" s="139"/>
      <c r="B151" s="185" t="s">
        <v>294</v>
      </c>
      <c r="C151" s="186" t="s">
        <v>289</v>
      </c>
      <c r="D151" s="186" t="s">
        <v>290</v>
      </c>
      <c r="E151" s="224" t="s">
        <v>291</v>
      </c>
      <c r="F151" s="224"/>
      <c r="G151" s="186" t="s">
        <v>292</v>
      </c>
      <c r="H151" s="186"/>
      <c r="I151" s="190"/>
    </row>
    <row r="152" ht="15.75" spans="1:9">
      <c r="A152" s="139"/>
      <c r="B152" s="181">
        <f>'INGRESOS Y EGRESOS'!H217</f>
        <v>225</v>
      </c>
      <c r="C152" s="176">
        <f>G108</f>
        <v>900</v>
      </c>
      <c r="D152" s="177">
        <f>B152+C152</f>
        <v>1125</v>
      </c>
      <c r="E152" s="217">
        <f>'INGRESOS Y EGRESOS'!H228</f>
        <v>519</v>
      </c>
      <c r="F152" s="218"/>
      <c r="G152" s="219">
        <f>D152-E152</f>
        <v>606</v>
      </c>
      <c r="H152" s="219"/>
      <c r="I152" s="190"/>
    </row>
    <row r="153" ht="15.75" spans="1:9">
      <c r="A153" s="139"/>
      <c r="B153" s="189"/>
      <c r="C153" s="189"/>
      <c r="D153" s="190"/>
      <c r="E153" s="227"/>
      <c r="F153" s="227"/>
      <c r="G153" s="228"/>
      <c r="H153" s="228"/>
      <c r="I153" s="190"/>
    </row>
    <row r="154" ht="21" spans="1:9">
      <c r="A154" s="139"/>
      <c r="B154" s="191"/>
      <c r="C154" s="192" t="s">
        <v>297</v>
      </c>
      <c r="D154" s="192"/>
      <c r="E154" s="192"/>
      <c r="F154" s="192"/>
      <c r="G154" s="191"/>
      <c r="H154" s="191"/>
      <c r="I154" s="237"/>
    </row>
    <row r="155" spans="1:9">
      <c r="A155" s="193"/>
      <c r="B155" s="185" t="s">
        <v>294</v>
      </c>
      <c r="C155" s="186" t="s">
        <v>289</v>
      </c>
      <c r="D155" s="186" t="s">
        <v>290</v>
      </c>
      <c r="E155" s="224" t="s">
        <v>291</v>
      </c>
      <c r="F155" s="224"/>
      <c r="G155" s="186" t="s">
        <v>292</v>
      </c>
      <c r="H155" s="186"/>
      <c r="I155" s="238"/>
    </row>
    <row r="156" ht="15.75" spans="1:9">
      <c r="A156" s="193"/>
      <c r="B156" s="181">
        <f>'INGRESOS Y EGRESOS'!I217</f>
        <v>50</v>
      </c>
      <c r="C156" s="176">
        <f>G112</f>
        <v>384</v>
      </c>
      <c r="D156" s="177">
        <f>B156+C156</f>
        <v>434</v>
      </c>
      <c r="E156" s="217">
        <v>0</v>
      </c>
      <c r="F156" s="218"/>
      <c r="G156" s="219">
        <f>D156-E156</f>
        <v>434</v>
      </c>
      <c r="H156" s="219"/>
      <c r="I156" s="238"/>
    </row>
    <row r="157" spans="1:9">
      <c r="A157" s="193"/>
      <c r="B157" s="194"/>
      <c r="C157" s="194"/>
      <c r="D157" s="194"/>
      <c r="E157" s="178"/>
      <c r="F157" s="229"/>
      <c r="G157" s="230"/>
      <c r="H157" s="231"/>
      <c r="I157" s="238"/>
    </row>
    <row r="158" spans="1:9">
      <c r="A158" s="193"/>
      <c r="B158" s="195"/>
      <c r="C158" s="195"/>
      <c r="D158" s="195"/>
      <c r="E158" s="195"/>
      <c r="F158" s="195"/>
      <c r="G158" s="195"/>
      <c r="H158" s="195"/>
      <c r="I158" s="238"/>
    </row>
    <row r="159" ht="15.75" spans="1:9">
      <c r="A159" s="193"/>
      <c r="B159" s="195"/>
      <c r="C159" s="196"/>
      <c r="D159" s="196"/>
      <c r="E159" s="173" t="s">
        <v>298</v>
      </c>
      <c r="F159" s="173"/>
      <c r="G159" s="232">
        <f>G140+G144+G148+G152+G156</f>
        <v>27407.5</v>
      </c>
      <c r="H159" s="232"/>
      <c r="I159" s="238"/>
    </row>
    <row r="160" ht="15.75" spans="1:9">
      <c r="A160" s="193"/>
      <c r="B160" s="197"/>
      <c r="C160" s="194"/>
      <c r="D160" s="194"/>
      <c r="E160" s="225"/>
      <c r="F160" s="225"/>
      <c r="G160" s="229"/>
      <c r="H160" s="229"/>
      <c r="I160" s="237"/>
    </row>
    <row r="161" ht="15.75" spans="1:9">
      <c r="A161" s="193"/>
      <c r="B161" s="197"/>
      <c r="C161" s="194"/>
      <c r="D161" s="194"/>
      <c r="E161" s="225"/>
      <c r="F161" s="225"/>
      <c r="G161" s="229"/>
      <c r="H161" s="229"/>
      <c r="I161" s="237"/>
    </row>
    <row r="162" spans="2:9">
      <c r="B162" s="198" t="s">
        <v>86</v>
      </c>
      <c r="C162" s="199"/>
      <c r="D162" s="198" t="s">
        <v>87</v>
      </c>
      <c r="E162" s="198"/>
      <c r="G162" s="198" t="s">
        <v>88</v>
      </c>
      <c r="H162" s="198"/>
      <c r="I162" s="198"/>
    </row>
    <row r="163" spans="2:7">
      <c r="B163" s="200"/>
      <c r="C163" s="200"/>
      <c r="D163" s="200"/>
      <c r="E163" s="200"/>
      <c r="F163" s="200"/>
      <c r="G163" s="200"/>
    </row>
    <row r="164" spans="1:9">
      <c r="A164" s="201" t="s">
        <v>17</v>
      </c>
      <c r="B164" s="201"/>
      <c r="C164" s="201"/>
      <c r="D164" s="202" t="s">
        <v>22</v>
      </c>
      <c r="E164" s="202"/>
      <c r="G164" s="195" t="s">
        <v>19</v>
      </c>
      <c r="H164" s="195"/>
      <c r="I164" s="195"/>
    </row>
    <row r="165" spans="2:9">
      <c r="B165" s="198" t="s">
        <v>89</v>
      </c>
      <c r="D165" s="198" t="s">
        <v>299</v>
      </c>
      <c r="E165" s="198"/>
      <c r="F165" s="199" t="s">
        <v>21</v>
      </c>
      <c r="G165" s="198" t="s">
        <v>91</v>
      </c>
      <c r="H165" s="198"/>
      <c r="I165" s="198"/>
    </row>
    <row r="178" ht="18.75" spans="3:7">
      <c r="C178" s="165"/>
      <c r="D178" s="33"/>
      <c r="E178" s="33"/>
      <c r="F178" s="33"/>
      <c r="G178" s="33"/>
    </row>
    <row r="179" ht="15.75" spans="3:5">
      <c r="C179" s="166" t="s">
        <v>284</v>
      </c>
      <c r="D179" s="167"/>
      <c r="E179" s="167"/>
    </row>
    <row r="180" ht="15.75" spans="2:9">
      <c r="B180" s="166" t="s">
        <v>285</v>
      </c>
      <c r="C180" s="168"/>
      <c r="D180" s="169">
        <v>15</v>
      </c>
      <c r="E180" s="203" t="s">
        <v>286</v>
      </c>
      <c r="F180" s="204" t="s">
        <v>303</v>
      </c>
      <c r="G180" s="205"/>
      <c r="I180" s="233"/>
    </row>
    <row r="181" ht="15.75" spans="2:9">
      <c r="B181" s="166"/>
      <c r="C181" s="168"/>
      <c r="D181" s="167"/>
      <c r="E181" s="167"/>
      <c r="F181" s="206"/>
      <c r="G181" s="206"/>
      <c r="I181" s="234"/>
    </row>
    <row r="182" ht="21" spans="1:9">
      <c r="A182" s="170"/>
      <c r="B182" s="171"/>
      <c r="C182" s="172" t="s">
        <v>53</v>
      </c>
      <c r="D182" s="172"/>
      <c r="E182" s="172"/>
      <c r="F182" s="172"/>
      <c r="G182" s="207"/>
      <c r="H182" s="208"/>
      <c r="I182" s="139"/>
    </row>
    <row r="183" spans="1:9">
      <c r="A183" s="170"/>
      <c r="B183" s="173" t="s">
        <v>288</v>
      </c>
      <c r="C183" s="174" t="s">
        <v>289</v>
      </c>
      <c r="D183" s="174" t="s">
        <v>290</v>
      </c>
      <c r="E183" s="209" t="s">
        <v>291</v>
      </c>
      <c r="F183" s="210"/>
      <c r="G183" s="174" t="s">
        <v>292</v>
      </c>
      <c r="H183" s="174"/>
      <c r="I183" s="139"/>
    </row>
    <row r="184" ht="15.75" spans="1:9">
      <c r="A184" s="170"/>
      <c r="B184" s="175">
        <f>'INGRESOS Y EGRESOS'!E255</f>
        <v>1995</v>
      </c>
      <c r="C184" s="176">
        <f>G140</f>
        <v>15041.5</v>
      </c>
      <c r="D184" s="177">
        <f>B184+C184</f>
        <v>17036.5</v>
      </c>
      <c r="E184" s="211">
        <f>'INGRESOS Y EGRESOS'!E266</f>
        <v>3240</v>
      </c>
      <c r="F184" s="212"/>
      <c r="G184" s="213">
        <f>D184-E184</f>
        <v>13796.5</v>
      </c>
      <c r="H184" s="213"/>
      <c r="I184" s="139"/>
    </row>
    <row r="185" spans="1:9">
      <c r="A185" s="170"/>
      <c r="B185" s="178"/>
      <c r="C185" s="170"/>
      <c r="D185" s="170"/>
      <c r="E185" s="214"/>
      <c r="F185" s="214"/>
      <c r="G185" s="215"/>
      <c r="H185" s="215"/>
      <c r="I185" s="139"/>
    </row>
    <row r="186" ht="21" spans="1:9">
      <c r="A186" s="179"/>
      <c r="B186" s="139"/>
      <c r="C186" s="180" t="s">
        <v>293</v>
      </c>
      <c r="D186" s="180"/>
      <c r="E186" s="180"/>
      <c r="F186" s="180"/>
      <c r="G186" s="170"/>
      <c r="H186" s="139"/>
      <c r="I186" s="139"/>
    </row>
    <row r="187" spans="1:9">
      <c r="A187" s="139"/>
      <c r="B187" s="173" t="s">
        <v>294</v>
      </c>
      <c r="C187" s="174" t="s">
        <v>289</v>
      </c>
      <c r="D187" s="174" t="s">
        <v>290</v>
      </c>
      <c r="E187" s="216" t="s">
        <v>291</v>
      </c>
      <c r="F187" s="216"/>
      <c r="G187" s="174" t="s">
        <v>292</v>
      </c>
      <c r="H187" s="174"/>
      <c r="I187" s="139"/>
    </row>
    <row r="188" ht="15.75" spans="1:9">
      <c r="A188" s="139"/>
      <c r="B188" s="181">
        <f>'INGRESOS Y EGRESOS'!F255</f>
        <v>350</v>
      </c>
      <c r="C188" s="176">
        <f>G144</f>
        <v>10544</v>
      </c>
      <c r="D188" s="177">
        <f>B188+C188</f>
        <v>10894</v>
      </c>
      <c r="E188" s="217">
        <v>0</v>
      </c>
      <c r="F188" s="218"/>
      <c r="G188" s="219">
        <f>D188-E188</f>
        <v>10894</v>
      </c>
      <c r="H188" s="219"/>
      <c r="I188" s="139"/>
    </row>
    <row r="189" ht="15.75" spans="1:9">
      <c r="A189" s="139"/>
      <c r="B189" s="182"/>
      <c r="C189" s="182"/>
      <c r="D189" s="182"/>
      <c r="E189" s="220"/>
      <c r="F189" s="220"/>
      <c r="G189" s="221"/>
      <c r="H189" s="222"/>
      <c r="I189" s="139"/>
    </row>
    <row r="190" ht="21" spans="1:9">
      <c r="A190" s="139"/>
      <c r="B190" s="183"/>
      <c r="C190" s="184" t="s">
        <v>295</v>
      </c>
      <c r="D190" s="184"/>
      <c r="E190" s="184"/>
      <c r="F190" s="184"/>
      <c r="G190" s="223"/>
      <c r="H190" s="191"/>
      <c r="I190" s="235"/>
    </row>
    <row r="191" ht="15.75" spans="1:9">
      <c r="A191" s="139"/>
      <c r="B191" s="185" t="s">
        <v>294</v>
      </c>
      <c r="C191" s="186" t="s">
        <v>289</v>
      </c>
      <c r="D191" s="186" t="s">
        <v>290</v>
      </c>
      <c r="E191" s="224" t="s">
        <v>291</v>
      </c>
      <c r="F191" s="224"/>
      <c r="G191" s="186" t="s">
        <v>292</v>
      </c>
      <c r="H191" s="186"/>
      <c r="I191" s="235"/>
    </row>
    <row r="192" ht="15.75" spans="1:9">
      <c r="A192" s="187"/>
      <c r="B192" s="181">
        <f>'INGRESOS Y EGRESOS'!G255</f>
        <v>345</v>
      </c>
      <c r="C192" s="176">
        <f>G148</f>
        <v>782</v>
      </c>
      <c r="D192" s="177">
        <f>B192+C192</f>
        <v>1127</v>
      </c>
      <c r="E192" s="217">
        <f>'INGRESOS Y EGRESOS'!G264</f>
        <v>0</v>
      </c>
      <c r="F192" s="218"/>
      <c r="G192" s="219">
        <f>D192-E192</f>
        <v>1127</v>
      </c>
      <c r="H192" s="219"/>
      <c r="I192" s="236"/>
    </row>
    <row r="193" ht="15.75" spans="1:9">
      <c r="A193" s="139"/>
      <c r="B193" s="188"/>
      <c r="C193" s="188"/>
      <c r="D193" s="188"/>
      <c r="E193" s="225"/>
      <c r="F193" s="225"/>
      <c r="G193" s="225"/>
      <c r="H193" s="226"/>
      <c r="I193" s="190"/>
    </row>
    <row r="194" ht="21" spans="1:9">
      <c r="A194" s="139"/>
      <c r="B194" s="188"/>
      <c r="C194" s="184" t="s">
        <v>296</v>
      </c>
      <c r="D194" s="184"/>
      <c r="E194" s="184"/>
      <c r="F194" s="184"/>
      <c r="G194" s="225"/>
      <c r="H194" s="226"/>
      <c r="I194" s="190"/>
    </row>
    <row r="195" ht="15.75" spans="1:9">
      <c r="A195" s="139"/>
      <c r="B195" s="185" t="s">
        <v>294</v>
      </c>
      <c r="C195" s="186" t="s">
        <v>289</v>
      </c>
      <c r="D195" s="186" t="s">
        <v>290</v>
      </c>
      <c r="E195" s="224" t="s">
        <v>291</v>
      </c>
      <c r="F195" s="224"/>
      <c r="G195" s="186" t="s">
        <v>292</v>
      </c>
      <c r="H195" s="186"/>
      <c r="I195" s="190"/>
    </row>
    <row r="196" ht="15.75" spans="1:9">
      <c r="A196" s="139"/>
      <c r="B196" s="181">
        <f>'INGRESOS Y EGRESOS'!H255</f>
        <v>105</v>
      </c>
      <c r="C196" s="176">
        <f>G152</f>
        <v>606</v>
      </c>
      <c r="D196" s="177">
        <f>B196+C196</f>
        <v>711</v>
      </c>
      <c r="E196" s="217">
        <f>'INGRESOS Y EGRESOS'!H264</f>
        <v>0</v>
      </c>
      <c r="F196" s="218"/>
      <c r="G196" s="219">
        <f>D196-E196</f>
        <v>711</v>
      </c>
      <c r="H196" s="219"/>
      <c r="I196" s="190"/>
    </row>
    <row r="197" ht="15.75" spans="1:9">
      <c r="A197" s="139"/>
      <c r="B197" s="189"/>
      <c r="C197" s="189"/>
      <c r="D197" s="190"/>
      <c r="E197" s="227"/>
      <c r="F197" s="227"/>
      <c r="G197" s="228"/>
      <c r="H197" s="228"/>
      <c r="I197" s="190"/>
    </row>
    <row r="198" ht="21" spans="1:9">
      <c r="A198" s="139"/>
      <c r="B198" s="191"/>
      <c r="C198" s="192" t="s">
        <v>297</v>
      </c>
      <c r="D198" s="192"/>
      <c r="E198" s="192"/>
      <c r="F198" s="192"/>
      <c r="G198" s="191"/>
      <c r="H198" s="191"/>
      <c r="I198" s="237"/>
    </row>
    <row r="199" spans="1:9">
      <c r="A199" s="193"/>
      <c r="B199" s="185" t="s">
        <v>294</v>
      </c>
      <c r="C199" s="186" t="s">
        <v>289</v>
      </c>
      <c r="D199" s="186" t="s">
        <v>290</v>
      </c>
      <c r="E199" s="224" t="s">
        <v>291</v>
      </c>
      <c r="F199" s="224"/>
      <c r="G199" s="186" t="s">
        <v>292</v>
      </c>
      <c r="H199" s="186"/>
      <c r="I199" s="238"/>
    </row>
    <row r="200" ht="15.75" spans="1:9">
      <c r="A200" s="193"/>
      <c r="B200" s="181">
        <f>'INGRESOS Y EGRESOS'!I255</f>
        <v>0</v>
      </c>
      <c r="C200" s="176">
        <f>G156</f>
        <v>434</v>
      </c>
      <c r="D200" s="177">
        <f>B200+C200</f>
        <v>434</v>
      </c>
      <c r="E200" s="217">
        <v>0</v>
      </c>
      <c r="F200" s="218"/>
      <c r="G200" s="219">
        <f>D200-E200</f>
        <v>434</v>
      </c>
      <c r="H200" s="219"/>
      <c r="I200" s="238"/>
    </row>
    <row r="201" spans="1:9">
      <c r="A201" s="193"/>
      <c r="B201" s="194"/>
      <c r="C201" s="194"/>
      <c r="D201" s="194"/>
      <c r="E201" s="178"/>
      <c r="F201" s="229"/>
      <c r="G201" s="230"/>
      <c r="H201" s="231"/>
      <c r="I201" s="238"/>
    </row>
    <row r="202" spans="1:9">
      <c r="A202" s="193"/>
      <c r="B202" s="195"/>
      <c r="C202" s="195"/>
      <c r="D202" s="195"/>
      <c r="E202" s="195"/>
      <c r="F202" s="195"/>
      <c r="G202" s="195"/>
      <c r="H202" s="195"/>
      <c r="I202" s="238"/>
    </row>
    <row r="203" ht="15.75" spans="1:9">
      <c r="A203" s="193"/>
      <c r="B203" s="195"/>
      <c r="C203" s="196"/>
      <c r="D203" s="196"/>
      <c r="E203" s="173" t="s">
        <v>298</v>
      </c>
      <c r="F203" s="173"/>
      <c r="G203" s="232">
        <f>G184+G188+G192+G196+G200</f>
        <v>26962.5</v>
      </c>
      <c r="H203" s="232"/>
      <c r="I203" s="238"/>
    </row>
    <row r="204" ht="15.75" spans="1:9">
      <c r="A204" s="193"/>
      <c r="B204" s="197"/>
      <c r="C204" s="194"/>
      <c r="D204" s="194"/>
      <c r="E204" s="225"/>
      <c r="F204" s="225"/>
      <c r="G204" s="229"/>
      <c r="H204" s="229"/>
      <c r="I204" s="237"/>
    </row>
    <row r="205" ht="15.75" spans="1:9">
      <c r="A205" s="193"/>
      <c r="B205" s="197"/>
      <c r="C205" s="194"/>
      <c r="D205" s="194"/>
      <c r="E205" s="225"/>
      <c r="F205" s="225"/>
      <c r="G205" s="229"/>
      <c r="H205" s="229"/>
      <c r="I205" s="237"/>
    </row>
    <row r="206" spans="2:9">
      <c r="B206" s="198" t="s">
        <v>86</v>
      </c>
      <c r="C206" s="199"/>
      <c r="D206" s="198" t="s">
        <v>87</v>
      </c>
      <c r="E206" s="198"/>
      <c r="G206" s="198" t="s">
        <v>88</v>
      </c>
      <c r="H206" s="198"/>
      <c r="I206" s="198"/>
    </row>
    <row r="207" spans="2:7">
      <c r="B207" s="200"/>
      <c r="C207" s="200"/>
      <c r="D207" s="200"/>
      <c r="E207" s="200"/>
      <c r="F207" s="200"/>
      <c r="G207" s="200"/>
    </row>
    <row r="208" spans="1:9">
      <c r="A208" s="201" t="s">
        <v>17</v>
      </c>
      <c r="B208" s="201"/>
      <c r="C208" s="201"/>
      <c r="D208" s="202" t="s">
        <v>22</v>
      </c>
      <c r="E208" s="202"/>
      <c r="G208" s="195" t="s">
        <v>19</v>
      </c>
      <c r="H208" s="195"/>
      <c r="I208" s="195"/>
    </row>
    <row r="209" spans="2:9">
      <c r="B209" s="198" t="s">
        <v>89</v>
      </c>
      <c r="D209" s="198" t="s">
        <v>299</v>
      </c>
      <c r="E209" s="198"/>
      <c r="F209" s="199" t="s">
        <v>21</v>
      </c>
      <c r="G209" s="198" t="s">
        <v>91</v>
      </c>
      <c r="H209" s="198"/>
      <c r="I209" s="198"/>
    </row>
    <row r="216" ht="18.75" spans="3:7">
      <c r="C216" s="165"/>
      <c r="D216" s="33"/>
      <c r="E216" s="33"/>
      <c r="F216" s="33"/>
      <c r="G216" s="33"/>
    </row>
    <row r="217" ht="15.75" spans="3:5">
      <c r="C217" s="166" t="s">
        <v>284</v>
      </c>
      <c r="D217" s="167"/>
      <c r="E217" s="167"/>
    </row>
    <row r="218" ht="15.75" spans="2:9">
      <c r="B218" s="166" t="s">
        <v>285</v>
      </c>
      <c r="C218" s="168"/>
      <c r="D218" s="169">
        <v>15</v>
      </c>
      <c r="E218" s="203" t="s">
        <v>286</v>
      </c>
      <c r="F218" s="204" t="s">
        <v>304</v>
      </c>
      <c r="G218" s="205"/>
      <c r="I218" s="233"/>
    </row>
    <row r="219" ht="15.75" spans="2:9">
      <c r="B219" s="166"/>
      <c r="C219" s="168"/>
      <c r="D219" s="167"/>
      <c r="E219" s="167"/>
      <c r="F219" s="206"/>
      <c r="G219" s="206"/>
      <c r="I219" s="234"/>
    </row>
    <row r="220" ht="21" spans="1:9">
      <c r="A220" s="170"/>
      <c r="B220" s="171"/>
      <c r="C220" s="172" t="s">
        <v>53</v>
      </c>
      <c r="D220" s="172"/>
      <c r="E220" s="172"/>
      <c r="F220" s="172"/>
      <c r="G220" s="207"/>
      <c r="H220" s="208"/>
      <c r="I220" s="139"/>
    </row>
    <row r="221" spans="1:9">
      <c r="A221" s="170"/>
      <c r="B221" s="173" t="s">
        <v>288</v>
      </c>
      <c r="C221" s="174" t="s">
        <v>289</v>
      </c>
      <c r="D221" s="174" t="s">
        <v>290</v>
      </c>
      <c r="E221" s="209" t="s">
        <v>291</v>
      </c>
      <c r="F221" s="210"/>
      <c r="G221" s="174" t="s">
        <v>292</v>
      </c>
      <c r="H221" s="174"/>
      <c r="I221" s="139"/>
    </row>
    <row r="222" ht="15.75" spans="1:9">
      <c r="A222" s="170"/>
      <c r="B222" s="175">
        <f>'INGRESOS Y EGRESOS'!E304</f>
        <v>6385</v>
      </c>
      <c r="C222" s="176">
        <f>G184</f>
        <v>13796.5</v>
      </c>
      <c r="D222" s="177">
        <f>B222+C222</f>
        <v>20181.5</v>
      </c>
      <c r="E222" s="211">
        <f>'INGRESOS Y EGRESOS'!E316</f>
        <v>3990</v>
      </c>
      <c r="F222" s="212"/>
      <c r="G222" s="213">
        <f>D222-E222</f>
        <v>16191.5</v>
      </c>
      <c r="H222" s="213"/>
      <c r="I222" s="139"/>
    </row>
    <row r="223" spans="1:9">
      <c r="A223" s="170"/>
      <c r="B223" s="178"/>
      <c r="C223" s="170"/>
      <c r="D223" s="170"/>
      <c r="E223" s="214"/>
      <c r="F223" s="214"/>
      <c r="G223" s="215"/>
      <c r="H223" s="215"/>
      <c r="I223" s="139"/>
    </row>
    <row r="224" ht="21" spans="1:9">
      <c r="A224" s="179"/>
      <c r="B224" s="139"/>
      <c r="C224" s="180" t="s">
        <v>293</v>
      </c>
      <c r="D224" s="180"/>
      <c r="E224" s="180"/>
      <c r="F224" s="180"/>
      <c r="G224" s="170"/>
      <c r="H224" s="139"/>
      <c r="I224" s="139"/>
    </row>
    <row r="225" spans="1:9">
      <c r="A225" s="139"/>
      <c r="B225" s="173" t="s">
        <v>294</v>
      </c>
      <c r="C225" s="174" t="s">
        <v>289</v>
      </c>
      <c r="D225" s="174" t="s">
        <v>290</v>
      </c>
      <c r="E225" s="216" t="s">
        <v>291</v>
      </c>
      <c r="F225" s="216"/>
      <c r="G225" s="174" t="s">
        <v>292</v>
      </c>
      <c r="H225" s="174"/>
      <c r="I225" s="139"/>
    </row>
    <row r="226" ht="15.75" spans="1:9">
      <c r="A226" s="139"/>
      <c r="B226" s="181">
        <f>'INGRESOS Y EGRESOS'!F304</f>
        <v>1550</v>
      </c>
      <c r="C226" s="176">
        <f>G188</f>
        <v>10894</v>
      </c>
      <c r="D226" s="177">
        <f>B226+C226</f>
        <v>12444</v>
      </c>
      <c r="E226" s="217">
        <f>'INGRESOS Y EGRESOS'!F316</f>
        <v>10300</v>
      </c>
      <c r="F226" s="218"/>
      <c r="G226" s="219">
        <f>D226-E226</f>
        <v>2144</v>
      </c>
      <c r="H226" s="219"/>
      <c r="I226" s="139"/>
    </row>
    <row r="227" ht="15.75" spans="1:9">
      <c r="A227" s="139"/>
      <c r="B227" s="182"/>
      <c r="C227" s="182"/>
      <c r="D227" s="182"/>
      <c r="E227" s="220"/>
      <c r="F227" s="220"/>
      <c r="G227" s="221"/>
      <c r="H227" s="222"/>
      <c r="I227" s="139"/>
    </row>
    <row r="228" ht="21" spans="1:9">
      <c r="A228" s="139"/>
      <c r="B228" s="183"/>
      <c r="C228" s="184" t="s">
        <v>295</v>
      </c>
      <c r="D228" s="184"/>
      <c r="E228" s="184"/>
      <c r="F228" s="184"/>
      <c r="G228" s="223"/>
      <c r="H228" s="191"/>
      <c r="I228" s="235"/>
    </row>
    <row r="229" ht="15.75" spans="1:9">
      <c r="A229" s="139"/>
      <c r="B229" s="185" t="s">
        <v>294</v>
      </c>
      <c r="C229" s="186" t="s">
        <v>289</v>
      </c>
      <c r="D229" s="186" t="s">
        <v>290</v>
      </c>
      <c r="E229" s="224" t="s">
        <v>291</v>
      </c>
      <c r="F229" s="224"/>
      <c r="G229" s="186" t="s">
        <v>292</v>
      </c>
      <c r="H229" s="186"/>
      <c r="I229" s="235"/>
    </row>
    <row r="230" ht="15.75" spans="1:9">
      <c r="A230" s="187"/>
      <c r="B230" s="181">
        <f>'INGRESOS Y EGRESOS'!G304</f>
        <v>1281</v>
      </c>
      <c r="C230" s="176">
        <f>G192</f>
        <v>1127</v>
      </c>
      <c r="D230" s="177">
        <f>B230+C230</f>
        <v>2408</v>
      </c>
      <c r="E230" s="217"/>
      <c r="F230" s="218"/>
      <c r="G230" s="219">
        <f>D230-E230</f>
        <v>2408</v>
      </c>
      <c r="H230" s="219"/>
      <c r="I230" s="236"/>
    </row>
    <row r="231" ht="15.75" spans="1:9">
      <c r="A231" s="139"/>
      <c r="B231" s="188"/>
      <c r="C231" s="188"/>
      <c r="D231" s="188"/>
      <c r="E231" s="225"/>
      <c r="F231" s="225"/>
      <c r="G231" s="225"/>
      <c r="H231" s="226"/>
      <c r="I231" s="190"/>
    </row>
    <row r="232" ht="15.75" spans="1:9">
      <c r="A232" s="139"/>
      <c r="B232" s="188"/>
      <c r="C232" s="239" t="s">
        <v>296</v>
      </c>
      <c r="D232" s="239"/>
      <c r="E232" s="239"/>
      <c r="F232" s="239"/>
      <c r="G232" s="225"/>
      <c r="H232" s="226"/>
      <c r="I232" s="190"/>
    </row>
    <row r="233" ht="15.75" spans="1:9">
      <c r="A233" s="139"/>
      <c r="B233" s="185" t="s">
        <v>294</v>
      </c>
      <c r="C233" s="186" t="s">
        <v>289</v>
      </c>
      <c r="D233" s="186" t="s">
        <v>290</v>
      </c>
      <c r="E233" s="224" t="s">
        <v>291</v>
      </c>
      <c r="F233" s="224"/>
      <c r="G233" s="186" t="s">
        <v>292</v>
      </c>
      <c r="H233" s="186"/>
      <c r="I233" s="190"/>
    </row>
    <row r="234" ht="15.75" spans="1:9">
      <c r="A234" s="139"/>
      <c r="B234" s="181">
        <f>'INGRESOS Y EGRESOS'!H304</f>
        <v>315</v>
      </c>
      <c r="C234" s="176">
        <f>G196</f>
        <v>711</v>
      </c>
      <c r="D234" s="177">
        <f>B234+C234</f>
        <v>1026</v>
      </c>
      <c r="E234" s="217">
        <v>0</v>
      </c>
      <c r="F234" s="218"/>
      <c r="G234" s="219">
        <f>D234-E234</f>
        <v>1026</v>
      </c>
      <c r="H234" s="219"/>
      <c r="I234" s="190"/>
    </row>
    <row r="235" ht="15.75" spans="1:9">
      <c r="A235" s="139"/>
      <c r="B235" s="189"/>
      <c r="C235" s="189"/>
      <c r="D235" s="190"/>
      <c r="E235" s="227"/>
      <c r="F235" s="227"/>
      <c r="G235" s="228"/>
      <c r="H235" s="228"/>
      <c r="I235" s="190"/>
    </row>
    <row r="236" ht="21" spans="1:9">
      <c r="A236" s="139"/>
      <c r="B236" s="191"/>
      <c r="C236" s="192" t="s">
        <v>305</v>
      </c>
      <c r="D236" s="192"/>
      <c r="E236" s="192"/>
      <c r="F236" s="192"/>
      <c r="G236" s="191"/>
      <c r="H236" s="191"/>
      <c r="I236" s="237"/>
    </row>
    <row r="237" spans="1:9">
      <c r="A237" s="193"/>
      <c r="B237" s="185" t="s">
        <v>294</v>
      </c>
      <c r="C237" s="186" t="s">
        <v>289</v>
      </c>
      <c r="D237" s="186" t="s">
        <v>290</v>
      </c>
      <c r="E237" s="224" t="s">
        <v>291</v>
      </c>
      <c r="F237" s="224"/>
      <c r="G237" s="186" t="s">
        <v>292</v>
      </c>
      <c r="H237" s="186"/>
      <c r="I237" s="238"/>
    </row>
    <row r="238" ht="15.75" spans="1:9">
      <c r="A238" s="193"/>
      <c r="B238" s="181">
        <f>'INGRESOS Y EGRESOS'!I293</f>
        <v>0</v>
      </c>
      <c r="C238" s="176">
        <f>G194</f>
        <v>0</v>
      </c>
      <c r="D238" s="177">
        <f>G200</f>
        <v>434</v>
      </c>
      <c r="E238" s="217">
        <v>0</v>
      </c>
      <c r="F238" s="218"/>
      <c r="G238" s="219">
        <f>D238-E238</f>
        <v>434</v>
      </c>
      <c r="H238" s="219"/>
      <c r="I238" s="238"/>
    </row>
    <row r="239" spans="1:9">
      <c r="A239" s="193"/>
      <c r="B239" s="194"/>
      <c r="C239" s="194"/>
      <c r="D239" s="194"/>
      <c r="E239" s="178"/>
      <c r="F239" s="229"/>
      <c r="G239" s="230"/>
      <c r="H239" s="231"/>
      <c r="I239" s="238"/>
    </row>
    <row r="240" spans="1:9">
      <c r="A240" s="193"/>
      <c r="B240" s="195"/>
      <c r="C240" s="195"/>
      <c r="D240" s="195"/>
      <c r="E240" s="195"/>
      <c r="F240" s="195"/>
      <c r="G240" s="195"/>
      <c r="H240" s="195"/>
      <c r="I240" s="238"/>
    </row>
    <row r="241" ht="15.75" spans="1:9">
      <c r="A241" s="193"/>
      <c r="B241" s="195"/>
      <c r="C241" s="196"/>
      <c r="D241" s="196"/>
      <c r="E241" s="173" t="s">
        <v>298</v>
      </c>
      <c r="F241" s="173"/>
      <c r="G241" s="232">
        <f>G222+G226+G230+G234+G238</f>
        <v>22203.5</v>
      </c>
      <c r="H241" s="232"/>
      <c r="I241" s="238"/>
    </row>
    <row r="242" ht="15.75" spans="1:9">
      <c r="A242" s="193"/>
      <c r="B242" s="197"/>
      <c r="C242" s="194"/>
      <c r="D242" s="194"/>
      <c r="E242" s="225"/>
      <c r="F242" s="225"/>
      <c r="G242" s="229"/>
      <c r="H242" s="229"/>
      <c r="I242" s="237"/>
    </row>
    <row r="243" ht="15.75" spans="1:9">
      <c r="A243" s="193"/>
      <c r="B243" s="197"/>
      <c r="C243" s="194"/>
      <c r="D243" s="194"/>
      <c r="E243" s="225"/>
      <c r="F243" s="225"/>
      <c r="G243" s="229"/>
      <c r="H243" s="229"/>
      <c r="I243" s="237"/>
    </row>
    <row r="244" spans="2:9">
      <c r="B244" s="198" t="s">
        <v>86</v>
      </c>
      <c r="C244" s="199"/>
      <c r="D244" s="198" t="s">
        <v>87</v>
      </c>
      <c r="E244" s="198"/>
      <c r="G244" s="198" t="s">
        <v>88</v>
      </c>
      <c r="H244" s="198"/>
      <c r="I244" s="198"/>
    </row>
    <row r="245" spans="2:7">
      <c r="B245" s="200"/>
      <c r="C245" s="200"/>
      <c r="D245" s="200"/>
      <c r="E245" s="200"/>
      <c r="F245" s="200"/>
      <c r="G245" s="200"/>
    </row>
    <row r="246" spans="1:9">
      <c r="A246" s="201" t="s">
        <v>17</v>
      </c>
      <c r="B246" s="201"/>
      <c r="C246" s="201"/>
      <c r="D246" s="202" t="s">
        <v>22</v>
      </c>
      <c r="E246" s="202"/>
      <c r="G246" s="195" t="s">
        <v>19</v>
      </c>
      <c r="H246" s="195"/>
      <c r="I246" s="195"/>
    </row>
    <row r="247" spans="2:9">
      <c r="B247" s="198" t="s">
        <v>89</v>
      </c>
      <c r="D247" s="198" t="s">
        <v>299</v>
      </c>
      <c r="E247" s="198"/>
      <c r="F247" s="199" t="s">
        <v>21</v>
      </c>
      <c r="G247" s="198" t="s">
        <v>91</v>
      </c>
      <c r="H247" s="198"/>
      <c r="I247" s="198"/>
    </row>
  </sheetData>
  <mergeCells count="246">
    <mergeCell ref="C6:F6"/>
    <mergeCell ref="G6:H6"/>
    <mergeCell ref="E7:F7"/>
    <mergeCell ref="G7:H7"/>
    <mergeCell ref="E8:F8"/>
    <mergeCell ref="G8:H8"/>
    <mergeCell ref="E9:F9"/>
    <mergeCell ref="G9:H9"/>
    <mergeCell ref="C10:F10"/>
    <mergeCell ref="E11:F11"/>
    <mergeCell ref="G11:H11"/>
    <mergeCell ref="E12:F12"/>
    <mergeCell ref="G12:H12"/>
    <mergeCell ref="E13:F13"/>
    <mergeCell ref="G13:H13"/>
    <mergeCell ref="C14:F14"/>
    <mergeCell ref="E15:F15"/>
    <mergeCell ref="G15:H15"/>
    <mergeCell ref="E16:F16"/>
    <mergeCell ref="G16:H16"/>
    <mergeCell ref="C18:F18"/>
    <mergeCell ref="E19:F19"/>
    <mergeCell ref="G19:H19"/>
    <mergeCell ref="E20:F20"/>
    <mergeCell ref="G20:H20"/>
    <mergeCell ref="C22:F22"/>
    <mergeCell ref="E23:F23"/>
    <mergeCell ref="G23:H23"/>
    <mergeCell ref="E24:F24"/>
    <mergeCell ref="G24:H24"/>
    <mergeCell ref="B25:D25"/>
    <mergeCell ref="B26:H26"/>
    <mergeCell ref="E27:F27"/>
    <mergeCell ref="G27:H27"/>
    <mergeCell ref="G28:H28"/>
    <mergeCell ref="D30:E30"/>
    <mergeCell ref="G30:I30"/>
    <mergeCell ref="A32:C32"/>
    <mergeCell ref="G32:I32"/>
    <mergeCell ref="D33:E33"/>
    <mergeCell ref="G33:I33"/>
    <mergeCell ref="C50:F50"/>
    <mergeCell ref="G50:H50"/>
    <mergeCell ref="E51:F51"/>
    <mergeCell ref="G51:H51"/>
    <mergeCell ref="E52:F52"/>
    <mergeCell ref="G52:H52"/>
    <mergeCell ref="E53:F53"/>
    <mergeCell ref="G53:H53"/>
    <mergeCell ref="C54:F54"/>
    <mergeCell ref="E55:F55"/>
    <mergeCell ref="G55:H55"/>
    <mergeCell ref="E56:F56"/>
    <mergeCell ref="G56:H56"/>
    <mergeCell ref="E57:F57"/>
    <mergeCell ref="G57:H57"/>
    <mergeCell ref="C58:F58"/>
    <mergeCell ref="E59:F59"/>
    <mergeCell ref="G59:H59"/>
    <mergeCell ref="E60:F60"/>
    <mergeCell ref="G60:H60"/>
    <mergeCell ref="C62:F62"/>
    <mergeCell ref="E63:F63"/>
    <mergeCell ref="G63:H63"/>
    <mergeCell ref="E64:F64"/>
    <mergeCell ref="G64:H64"/>
    <mergeCell ref="C66:F66"/>
    <mergeCell ref="E67:F67"/>
    <mergeCell ref="G67:H67"/>
    <mergeCell ref="E68:F68"/>
    <mergeCell ref="G68:H68"/>
    <mergeCell ref="B69:D69"/>
    <mergeCell ref="B70:H70"/>
    <mergeCell ref="E71:F71"/>
    <mergeCell ref="G71:H71"/>
    <mergeCell ref="G72:H72"/>
    <mergeCell ref="D74:E74"/>
    <mergeCell ref="G74:I74"/>
    <mergeCell ref="A76:C76"/>
    <mergeCell ref="G76:I76"/>
    <mergeCell ref="D77:E77"/>
    <mergeCell ref="G77:I77"/>
    <mergeCell ref="C94:F94"/>
    <mergeCell ref="G94:H94"/>
    <mergeCell ref="E95:F95"/>
    <mergeCell ref="G95:H95"/>
    <mergeCell ref="E96:F96"/>
    <mergeCell ref="G96:H96"/>
    <mergeCell ref="E97:F97"/>
    <mergeCell ref="G97:H97"/>
    <mergeCell ref="C98:F98"/>
    <mergeCell ref="E99:F99"/>
    <mergeCell ref="G99:H99"/>
    <mergeCell ref="E100:F100"/>
    <mergeCell ref="G100:H100"/>
    <mergeCell ref="E101:F101"/>
    <mergeCell ref="G101:H101"/>
    <mergeCell ref="C102:F102"/>
    <mergeCell ref="E103:F103"/>
    <mergeCell ref="G103:H103"/>
    <mergeCell ref="E104:F104"/>
    <mergeCell ref="G104:H104"/>
    <mergeCell ref="C106:F106"/>
    <mergeCell ref="E107:F107"/>
    <mergeCell ref="G107:H107"/>
    <mergeCell ref="E108:F108"/>
    <mergeCell ref="G108:H108"/>
    <mergeCell ref="C110:F110"/>
    <mergeCell ref="E111:F111"/>
    <mergeCell ref="G111:H111"/>
    <mergeCell ref="E112:F112"/>
    <mergeCell ref="G112:H112"/>
    <mergeCell ref="B113:D113"/>
    <mergeCell ref="B114:H114"/>
    <mergeCell ref="E115:F115"/>
    <mergeCell ref="G115:H115"/>
    <mergeCell ref="G116:H116"/>
    <mergeCell ref="D118:E118"/>
    <mergeCell ref="G118:I118"/>
    <mergeCell ref="A120:C120"/>
    <mergeCell ref="G120:I120"/>
    <mergeCell ref="D121:E121"/>
    <mergeCell ref="G121:I121"/>
    <mergeCell ref="C138:F138"/>
    <mergeCell ref="G138:H138"/>
    <mergeCell ref="E139:F139"/>
    <mergeCell ref="G139:H139"/>
    <mergeCell ref="E140:F140"/>
    <mergeCell ref="G140:H140"/>
    <mergeCell ref="E141:F141"/>
    <mergeCell ref="G141:H141"/>
    <mergeCell ref="C142:F142"/>
    <mergeCell ref="E143:F143"/>
    <mergeCell ref="G143:H143"/>
    <mergeCell ref="E144:F144"/>
    <mergeCell ref="G144:H144"/>
    <mergeCell ref="E145:F145"/>
    <mergeCell ref="G145:H145"/>
    <mergeCell ref="C146:F146"/>
    <mergeCell ref="E147:F147"/>
    <mergeCell ref="G147:H147"/>
    <mergeCell ref="E148:F148"/>
    <mergeCell ref="G148:H148"/>
    <mergeCell ref="C150:F150"/>
    <mergeCell ref="E151:F151"/>
    <mergeCell ref="G151:H151"/>
    <mergeCell ref="E152:F152"/>
    <mergeCell ref="G152:H152"/>
    <mergeCell ref="C154:F154"/>
    <mergeCell ref="E155:F155"/>
    <mergeCell ref="G155:H155"/>
    <mergeCell ref="E156:F156"/>
    <mergeCell ref="G156:H156"/>
    <mergeCell ref="B157:D157"/>
    <mergeCell ref="B158:H158"/>
    <mergeCell ref="E159:F159"/>
    <mergeCell ref="G159:H159"/>
    <mergeCell ref="G160:H160"/>
    <mergeCell ref="D162:E162"/>
    <mergeCell ref="G162:I162"/>
    <mergeCell ref="A164:C164"/>
    <mergeCell ref="G164:I164"/>
    <mergeCell ref="D165:E165"/>
    <mergeCell ref="G165:I165"/>
    <mergeCell ref="C182:F182"/>
    <mergeCell ref="G182:H182"/>
    <mergeCell ref="E183:F183"/>
    <mergeCell ref="G183:H183"/>
    <mergeCell ref="E184:F184"/>
    <mergeCell ref="G184:H184"/>
    <mergeCell ref="E185:F185"/>
    <mergeCell ref="G185:H185"/>
    <mergeCell ref="C186:F186"/>
    <mergeCell ref="E187:F187"/>
    <mergeCell ref="G187:H187"/>
    <mergeCell ref="E188:F188"/>
    <mergeCell ref="G188:H188"/>
    <mergeCell ref="E189:F189"/>
    <mergeCell ref="G189:H189"/>
    <mergeCell ref="C190:F190"/>
    <mergeCell ref="E191:F191"/>
    <mergeCell ref="G191:H191"/>
    <mergeCell ref="E192:F192"/>
    <mergeCell ref="G192:H192"/>
    <mergeCell ref="C194:F194"/>
    <mergeCell ref="E195:F195"/>
    <mergeCell ref="G195:H195"/>
    <mergeCell ref="E196:F196"/>
    <mergeCell ref="G196:H196"/>
    <mergeCell ref="C198:F198"/>
    <mergeCell ref="E199:F199"/>
    <mergeCell ref="G199:H199"/>
    <mergeCell ref="E200:F200"/>
    <mergeCell ref="G200:H200"/>
    <mergeCell ref="B201:D201"/>
    <mergeCell ref="B202:H202"/>
    <mergeCell ref="E203:F203"/>
    <mergeCell ref="G203:H203"/>
    <mergeCell ref="G204:H204"/>
    <mergeCell ref="D206:E206"/>
    <mergeCell ref="G206:I206"/>
    <mergeCell ref="A208:C208"/>
    <mergeCell ref="G208:I208"/>
    <mergeCell ref="D209:E209"/>
    <mergeCell ref="G209:I209"/>
    <mergeCell ref="C220:F220"/>
    <mergeCell ref="G220:H220"/>
    <mergeCell ref="E221:F221"/>
    <mergeCell ref="G221:H221"/>
    <mergeCell ref="E222:F222"/>
    <mergeCell ref="G222:H222"/>
    <mergeCell ref="E223:F223"/>
    <mergeCell ref="G223:H223"/>
    <mergeCell ref="C224:F224"/>
    <mergeCell ref="E225:F225"/>
    <mergeCell ref="G225:H225"/>
    <mergeCell ref="E226:F226"/>
    <mergeCell ref="G226:H226"/>
    <mergeCell ref="E227:F227"/>
    <mergeCell ref="G227:H227"/>
    <mergeCell ref="C228:F228"/>
    <mergeCell ref="E229:F229"/>
    <mergeCell ref="G229:H229"/>
    <mergeCell ref="E230:F230"/>
    <mergeCell ref="G230:H230"/>
    <mergeCell ref="C232:F232"/>
    <mergeCell ref="E233:F233"/>
    <mergeCell ref="G233:H233"/>
    <mergeCell ref="E234:F234"/>
    <mergeCell ref="G234:H234"/>
    <mergeCell ref="C236:F236"/>
    <mergeCell ref="E237:F237"/>
    <mergeCell ref="G237:H237"/>
    <mergeCell ref="E238:F238"/>
    <mergeCell ref="G238:H238"/>
    <mergeCell ref="B239:D239"/>
    <mergeCell ref="B240:H240"/>
    <mergeCell ref="E241:F241"/>
    <mergeCell ref="G241:H241"/>
    <mergeCell ref="G242:H242"/>
    <mergeCell ref="D244:E244"/>
    <mergeCell ref="G244:I244"/>
    <mergeCell ref="A246:C246"/>
    <mergeCell ref="G246:I246"/>
    <mergeCell ref="D247:E247"/>
    <mergeCell ref="G247:I247"/>
  </mergeCells>
  <pageMargins left="0.708333333333333" right="0.708333333333333" top="0.747916666666667" bottom="0.747916666666667" header="0.314583333333333" footer="0.314583333333333"/>
  <pageSetup paperSize="1" orientation="portrait" horizontalDpi="600" vertic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3:L391"/>
  <sheetViews>
    <sheetView zoomScale="136" zoomScaleNormal="136" topLeftCell="A334" workbookViewId="0">
      <selection activeCell="B303" sqref="B303"/>
    </sheetView>
  </sheetViews>
  <sheetFormatPr defaultColWidth="10.954128440367" defaultRowHeight="15"/>
  <cols>
    <col min="1" max="1" width="3.28440366972477" customWidth="1"/>
    <col min="2" max="2" width="17" customWidth="1"/>
    <col min="3" max="3" width="6.85321100917431" customWidth="1"/>
    <col min="4" max="4" width="3.56880733944954" customWidth="1"/>
    <col min="5" max="5" width="6.13761467889908" customWidth="1"/>
    <col min="6" max="7" width="5.42201834862385" customWidth="1"/>
    <col min="8" max="8" width="8.28440366972477" customWidth="1"/>
    <col min="9" max="9" width="9.42201834862385" customWidth="1"/>
    <col min="10" max="10" width="9.56880733944954" customWidth="1"/>
    <col min="11" max="11" width="10.5688073394495" customWidth="1"/>
  </cols>
  <sheetData>
    <row r="3" spans="3:10">
      <c r="C3" s="32" t="s">
        <v>44</v>
      </c>
      <c r="D3" s="33"/>
      <c r="E3" s="33"/>
      <c r="F3" s="33"/>
      <c r="G3" s="33"/>
      <c r="H3" s="33"/>
      <c r="I3" s="33"/>
      <c r="J3" s="33"/>
    </row>
    <row r="4" spans="1:12">
      <c r="A4" s="34" t="s">
        <v>306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6:6">
      <c r="F5" s="38" t="s">
        <v>307</v>
      </c>
    </row>
    <row r="7" spans="2:4">
      <c r="B7" s="35" t="s">
        <v>308</v>
      </c>
      <c r="D7" s="35" t="s">
        <v>309</v>
      </c>
    </row>
    <row r="8" ht="15.75" spans="2:5">
      <c r="B8" s="36" t="s">
        <v>310</v>
      </c>
      <c r="C8" s="37" t="s">
        <v>301</v>
      </c>
      <c r="D8" s="37"/>
      <c r="E8" s="37"/>
    </row>
    <row r="9" ht="11.1" customHeight="1" spans="2:10">
      <c r="B9" s="38" t="s">
        <v>311</v>
      </c>
      <c r="J9" s="75" t="s">
        <v>312</v>
      </c>
    </row>
    <row r="10" ht="11.1" customHeight="1" spans="2:10">
      <c r="B10" s="39" t="s">
        <v>53</v>
      </c>
      <c r="F10" s="40"/>
      <c r="G10" s="40"/>
      <c r="H10" s="40"/>
      <c r="I10" s="76" t="s">
        <v>313</v>
      </c>
      <c r="J10" s="77"/>
    </row>
    <row r="11" ht="11.1" customHeight="1" spans="2:10">
      <c r="B11" s="39"/>
      <c r="F11" s="54" t="s">
        <v>314</v>
      </c>
      <c r="G11" s="54" t="s">
        <v>315</v>
      </c>
      <c r="H11" s="55" t="s">
        <v>316</v>
      </c>
      <c r="I11" s="78"/>
      <c r="J11" s="79"/>
    </row>
    <row r="12" ht="11.1" customHeight="1"/>
    <row r="13" ht="11.1" customHeight="1" spans="2:10">
      <c r="B13" s="38" t="s">
        <v>317</v>
      </c>
      <c r="F13" s="56">
        <v>1</v>
      </c>
      <c r="G13" s="56">
        <v>17</v>
      </c>
      <c r="H13" s="57">
        <v>120</v>
      </c>
      <c r="I13" s="80">
        <f>F13*G13*H13</f>
        <v>2040</v>
      </c>
      <c r="J13" s="56"/>
    </row>
    <row r="14" ht="11.1" customHeight="1" spans="2:10">
      <c r="B14" s="40" t="s">
        <v>318</v>
      </c>
      <c r="F14" s="58"/>
      <c r="G14" s="58"/>
      <c r="H14" s="58" t="s">
        <v>21</v>
      </c>
      <c r="I14" s="58" t="s">
        <v>21</v>
      </c>
      <c r="J14" s="58"/>
    </row>
    <row r="15" ht="11.1" customHeight="1" spans="2:10">
      <c r="B15" s="38" t="s">
        <v>319</v>
      </c>
      <c r="F15" s="59" t="s">
        <v>21</v>
      </c>
      <c r="G15" s="60">
        <v>0</v>
      </c>
      <c r="H15" s="61">
        <v>250</v>
      </c>
      <c r="I15" s="81">
        <f t="shared" ref="I15:I19" si="0">G15*H15</f>
        <v>0</v>
      </c>
      <c r="J15" s="59"/>
    </row>
    <row r="16" ht="11.1" customHeight="1" spans="2:10">
      <c r="B16" s="38" t="s">
        <v>320</v>
      </c>
      <c r="F16" s="59"/>
      <c r="G16" s="60">
        <v>0</v>
      </c>
      <c r="H16" s="61">
        <v>250</v>
      </c>
      <c r="I16" s="81">
        <f t="shared" si="0"/>
        <v>0</v>
      </c>
      <c r="J16" s="59"/>
    </row>
    <row r="17" ht="11.1" customHeight="1" spans="2:10">
      <c r="B17" s="38" t="s">
        <v>321</v>
      </c>
      <c r="F17" s="59"/>
      <c r="G17" s="60">
        <v>0</v>
      </c>
      <c r="H17" s="61">
        <v>250</v>
      </c>
      <c r="I17" s="61">
        <f t="shared" si="0"/>
        <v>0</v>
      </c>
      <c r="J17" s="59"/>
    </row>
    <row r="18" ht="11.1" customHeight="1" spans="2:10">
      <c r="B18" s="38" t="s">
        <v>322</v>
      </c>
      <c r="F18" s="59"/>
      <c r="G18" s="60">
        <v>0</v>
      </c>
      <c r="H18" s="61">
        <v>250</v>
      </c>
      <c r="I18" s="81">
        <f t="shared" si="0"/>
        <v>0</v>
      </c>
      <c r="J18" s="59"/>
    </row>
    <row r="19" ht="11.1" customHeight="1" spans="2:10">
      <c r="B19" s="38" t="s">
        <v>323</v>
      </c>
      <c r="F19" s="59"/>
      <c r="G19" s="60">
        <v>0</v>
      </c>
      <c r="H19" s="61">
        <v>250</v>
      </c>
      <c r="I19" s="61">
        <f t="shared" si="0"/>
        <v>0</v>
      </c>
      <c r="J19" s="59"/>
    </row>
    <row r="20" ht="11.1" customHeight="1" spans="2:10">
      <c r="B20" s="38"/>
      <c r="F20" s="59"/>
      <c r="G20" s="60"/>
      <c r="H20" s="60"/>
      <c r="I20" s="60"/>
      <c r="J20" s="59"/>
    </row>
    <row r="21" ht="11.1" customHeight="1" spans="2:10">
      <c r="B21" s="40" t="s">
        <v>324</v>
      </c>
      <c r="C21" s="41"/>
      <c r="F21" s="59"/>
      <c r="G21" s="60"/>
      <c r="H21" s="62"/>
      <c r="I21" s="82"/>
      <c r="J21" s="59"/>
    </row>
    <row r="22" ht="11.1" customHeight="1" spans="2:10">
      <c r="B22" s="38"/>
      <c r="F22" s="59"/>
      <c r="G22" s="60"/>
      <c r="H22" s="60"/>
      <c r="I22" s="60"/>
      <c r="J22" s="59"/>
    </row>
    <row r="23" ht="11.1" customHeight="1" spans="2:10">
      <c r="B23" s="38" t="s">
        <v>325</v>
      </c>
      <c r="F23" s="59">
        <f>F13</f>
        <v>1</v>
      </c>
      <c r="G23" s="60">
        <f>G13</f>
        <v>17</v>
      </c>
      <c r="H23" s="63">
        <v>18</v>
      </c>
      <c r="I23" s="83">
        <f>F23*G23*H23</f>
        <v>306</v>
      </c>
      <c r="J23" s="59"/>
    </row>
    <row r="24" ht="11.1" customHeight="1" spans="2:10">
      <c r="B24" s="38" t="s">
        <v>326</v>
      </c>
      <c r="F24" s="59">
        <v>1</v>
      </c>
      <c r="G24" s="407" t="s">
        <v>327</v>
      </c>
      <c r="H24" s="64">
        <v>150</v>
      </c>
      <c r="I24" s="83">
        <f t="shared" ref="I24:I26" si="1">F24*H24</f>
        <v>150</v>
      </c>
      <c r="J24" s="59"/>
    </row>
    <row r="25" ht="11.1" customHeight="1" spans="2:10">
      <c r="B25" s="38" t="s">
        <v>328</v>
      </c>
      <c r="F25" s="59">
        <v>1</v>
      </c>
      <c r="G25" s="407" t="s">
        <v>327</v>
      </c>
      <c r="H25" s="64">
        <v>70</v>
      </c>
      <c r="I25" s="83">
        <f t="shared" si="1"/>
        <v>70</v>
      </c>
      <c r="J25" s="59"/>
    </row>
    <row r="26" ht="11.1" customHeight="1" spans="2:10">
      <c r="B26" s="38" t="s">
        <v>329</v>
      </c>
      <c r="F26" s="59">
        <f>F13</f>
        <v>1</v>
      </c>
      <c r="G26" s="407" t="s">
        <v>327</v>
      </c>
      <c r="H26" s="64">
        <v>800</v>
      </c>
      <c r="I26" s="83">
        <f t="shared" si="1"/>
        <v>800</v>
      </c>
      <c r="J26" s="59"/>
    </row>
    <row r="27" ht="11.1" customHeight="1" spans="2:10">
      <c r="B27" s="38"/>
      <c r="F27" s="59"/>
      <c r="G27" s="59"/>
      <c r="H27" s="65"/>
      <c r="I27" s="65"/>
      <c r="J27" s="59"/>
    </row>
    <row r="28" ht="11.1" customHeight="1" spans="2:10">
      <c r="B28" s="38" t="s">
        <v>330</v>
      </c>
      <c r="F28" s="59">
        <v>0</v>
      </c>
      <c r="G28" s="408" t="s">
        <v>327</v>
      </c>
      <c r="H28" s="65">
        <v>500</v>
      </c>
      <c r="I28" s="83">
        <f>F28*H28</f>
        <v>0</v>
      </c>
      <c r="J28" s="59"/>
    </row>
    <row r="29" ht="11.1" customHeight="1" spans="2:10">
      <c r="B29" s="38"/>
      <c r="F29" s="59"/>
      <c r="G29" s="59"/>
      <c r="H29" s="65"/>
      <c r="I29" s="65"/>
      <c r="J29" s="59"/>
    </row>
    <row r="30" ht="11.1" customHeight="1" spans="2:10">
      <c r="B30" s="40" t="s">
        <v>331</v>
      </c>
      <c r="F30" s="59"/>
      <c r="G30" s="59"/>
      <c r="H30" s="65"/>
      <c r="I30" s="65"/>
      <c r="J30" s="59"/>
    </row>
    <row r="31" ht="11.1" customHeight="1" spans="2:10">
      <c r="B31" s="38"/>
      <c r="F31" s="59"/>
      <c r="G31" s="59"/>
      <c r="H31" s="65"/>
      <c r="I31" s="65"/>
      <c r="J31" s="59"/>
    </row>
    <row r="32" ht="11.1" customHeight="1" spans="2:10">
      <c r="B32" s="38" t="s">
        <v>332</v>
      </c>
      <c r="F32" s="59"/>
      <c r="G32" s="59">
        <v>0</v>
      </c>
      <c r="H32" s="66">
        <v>150</v>
      </c>
      <c r="I32" s="65"/>
      <c r="J32" s="84">
        <f>G32*H32</f>
        <v>0</v>
      </c>
    </row>
    <row r="33" ht="11.1" customHeight="1" spans="2:10">
      <c r="B33" s="38" t="s">
        <v>333</v>
      </c>
      <c r="F33" s="59">
        <v>1</v>
      </c>
      <c r="G33" s="59">
        <f>G13</f>
        <v>17</v>
      </c>
      <c r="H33" s="66">
        <v>10</v>
      </c>
      <c r="I33" s="65"/>
      <c r="J33" s="84">
        <f>F33*G33*H33</f>
        <v>170</v>
      </c>
    </row>
    <row r="34" ht="11.1" customHeight="1" spans="2:10">
      <c r="B34" s="38" t="s">
        <v>334</v>
      </c>
      <c r="C34" s="42">
        <v>2759</v>
      </c>
      <c r="D34" s="43" t="s">
        <v>335</v>
      </c>
      <c r="E34" s="67">
        <v>2759</v>
      </c>
      <c r="F34" s="68">
        <v>1</v>
      </c>
      <c r="G34" s="68">
        <f>G13</f>
        <v>17</v>
      </c>
      <c r="H34" s="69">
        <v>50</v>
      </c>
      <c r="I34" s="85"/>
      <c r="J34" s="86">
        <f>F34*G34*H34</f>
        <v>850</v>
      </c>
    </row>
    <row r="35" ht="11.1" customHeight="1" spans="6:10">
      <c r="F35" s="53"/>
      <c r="G35" s="53"/>
      <c r="H35" s="70" t="s">
        <v>336</v>
      </c>
      <c r="I35" s="87">
        <f>SUM(I13:I34)</f>
        <v>3366</v>
      </c>
      <c r="J35" s="87">
        <f>SUM(J13:J34)</f>
        <v>1020</v>
      </c>
    </row>
    <row r="36" ht="11.1" customHeight="1" spans="8:10">
      <c r="H36" s="70" t="s">
        <v>58</v>
      </c>
      <c r="I36" s="88">
        <f>I35+J35</f>
        <v>4386</v>
      </c>
      <c r="J36" s="89"/>
    </row>
    <row r="37" ht="11.1" customHeight="1"/>
    <row r="38" ht="11.1" customHeight="1" spans="3:10">
      <c r="C38" s="40" t="s">
        <v>285</v>
      </c>
      <c r="E38" s="44"/>
      <c r="G38" s="40" t="s">
        <v>337</v>
      </c>
      <c r="H38" s="38"/>
      <c r="I38" s="38"/>
      <c r="J38" s="40" t="s">
        <v>338</v>
      </c>
    </row>
    <row r="39" ht="11.1" customHeight="1" spans="3:5">
      <c r="C39" s="44"/>
      <c r="D39" s="44"/>
      <c r="E39" s="44"/>
    </row>
    <row r="40" ht="11.1" customHeight="1" spans="3:11">
      <c r="C40" s="45">
        <v>6</v>
      </c>
      <c r="D40" s="38" t="s">
        <v>339</v>
      </c>
      <c r="E40" s="38"/>
      <c r="F40" s="38"/>
      <c r="G40" s="45">
        <v>0</v>
      </c>
      <c r="H40" s="38" t="s">
        <v>340</v>
      </c>
      <c r="I40" s="38"/>
      <c r="J40" s="45">
        <v>0</v>
      </c>
      <c r="K40" s="38" t="s">
        <v>341</v>
      </c>
    </row>
    <row r="41" ht="11.1" customHeight="1" spans="3:11">
      <c r="C41" s="45">
        <v>6</v>
      </c>
      <c r="D41" s="38" t="s">
        <v>342</v>
      </c>
      <c r="E41" s="38"/>
      <c r="F41" s="38"/>
      <c r="G41" s="45">
        <v>0</v>
      </c>
      <c r="H41" s="38" t="s">
        <v>343</v>
      </c>
      <c r="I41" s="38"/>
      <c r="J41" s="45">
        <v>0</v>
      </c>
      <c r="K41" s="38" t="s">
        <v>344</v>
      </c>
    </row>
    <row r="42" ht="11.1" customHeight="1" spans="3:11">
      <c r="C42" s="45">
        <v>5</v>
      </c>
      <c r="D42" s="38" t="s">
        <v>345</v>
      </c>
      <c r="E42" s="38"/>
      <c r="F42" s="38"/>
      <c r="G42" s="45">
        <v>0</v>
      </c>
      <c r="H42" s="38" t="s">
        <v>346</v>
      </c>
      <c r="I42" s="38"/>
      <c r="J42" s="45">
        <f>J40+J41</f>
        <v>0</v>
      </c>
      <c r="K42" s="38" t="s">
        <v>58</v>
      </c>
    </row>
    <row r="43" ht="11.1" customHeight="1" spans="3:11">
      <c r="C43" s="45">
        <f>C40+C41+C42</f>
        <v>17</v>
      </c>
      <c r="D43" s="38" t="s">
        <v>58</v>
      </c>
      <c r="E43" s="38"/>
      <c r="F43" s="38"/>
      <c r="G43" s="45">
        <f>G40+G41+G42</f>
        <v>0</v>
      </c>
      <c r="H43" s="38" t="s">
        <v>58</v>
      </c>
      <c r="I43" s="38"/>
      <c r="J43" s="53"/>
      <c r="K43" s="38"/>
    </row>
    <row r="44" ht="11.1" customHeight="1" spans="3:11">
      <c r="C44" s="38"/>
      <c r="D44" s="38"/>
      <c r="E44" s="38"/>
      <c r="F44" s="38"/>
      <c r="G44" s="38"/>
      <c r="H44" s="38"/>
      <c r="I44" s="38"/>
      <c r="J44" s="38"/>
      <c r="K44" s="38"/>
    </row>
    <row r="45" ht="11.1" customHeight="1" spans="3:11">
      <c r="C45" s="40" t="s">
        <v>347</v>
      </c>
      <c r="D45" s="38"/>
      <c r="F45" s="38"/>
      <c r="G45" s="38"/>
      <c r="H45" s="38"/>
      <c r="J45" s="40" t="s">
        <v>82</v>
      </c>
      <c r="K45" s="38"/>
    </row>
    <row r="46" ht="11.1" customHeight="1" spans="3:11">
      <c r="C46" s="45">
        <v>0</v>
      </c>
      <c r="D46" s="46" t="s">
        <v>348</v>
      </c>
      <c r="F46" s="38"/>
      <c r="G46" s="38"/>
      <c r="H46" s="38"/>
      <c r="J46" s="45">
        <v>0</v>
      </c>
      <c r="K46" s="38" t="s">
        <v>349</v>
      </c>
    </row>
    <row r="47" ht="11.1" customHeight="1" spans="3:11">
      <c r="C47" s="45">
        <v>0</v>
      </c>
      <c r="D47" s="38" t="s">
        <v>350</v>
      </c>
      <c r="F47" s="38"/>
      <c r="G47" s="38"/>
      <c r="H47" s="38"/>
      <c r="J47" s="45">
        <v>0</v>
      </c>
      <c r="K47" s="38" t="s">
        <v>351</v>
      </c>
    </row>
    <row r="48" ht="11.1" customHeight="1" spans="3:11">
      <c r="C48" s="45">
        <f>C46+C47</f>
        <v>0</v>
      </c>
      <c r="D48" s="38" t="s">
        <v>58</v>
      </c>
      <c r="F48" s="38"/>
      <c r="G48" s="38"/>
      <c r="H48" s="38"/>
      <c r="J48" s="45">
        <f>J46+J47</f>
        <v>0</v>
      </c>
      <c r="K48" s="38" t="s">
        <v>58</v>
      </c>
    </row>
    <row r="49" ht="11.1" customHeight="1" spans="3:11">
      <c r="C49" s="38"/>
      <c r="D49" s="38"/>
      <c r="E49" s="38"/>
      <c r="F49" s="38"/>
      <c r="G49" s="38"/>
      <c r="H49" s="38"/>
      <c r="I49" s="38"/>
      <c r="J49" s="38"/>
      <c r="K49" s="38"/>
    </row>
    <row r="50" ht="11.1" customHeight="1" spans="3:11">
      <c r="C50" s="40" t="s">
        <v>352</v>
      </c>
      <c r="D50" s="38"/>
      <c r="F50" s="38"/>
      <c r="G50" s="38"/>
      <c r="H50" s="38"/>
      <c r="I50" s="38"/>
      <c r="J50" s="38"/>
      <c r="K50" s="38"/>
    </row>
    <row r="51" ht="11.1" customHeight="1" spans="3:11">
      <c r="C51" s="47">
        <v>18</v>
      </c>
      <c r="D51" s="38" t="s">
        <v>353</v>
      </c>
      <c r="F51" s="38"/>
      <c r="G51" s="38"/>
      <c r="H51" s="38"/>
      <c r="I51" s="38"/>
      <c r="J51" s="38"/>
      <c r="K51" s="38"/>
    </row>
    <row r="52" ht="11.1" customHeight="1" spans="3:11">
      <c r="C52" s="47">
        <v>18</v>
      </c>
      <c r="D52" s="38" t="s">
        <v>354</v>
      </c>
      <c r="F52" s="38"/>
      <c r="G52" s="38"/>
      <c r="H52" s="38"/>
      <c r="I52" s="38"/>
      <c r="J52" s="38"/>
      <c r="K52" s="38"/>
    </row>
    <row r="53" ht="11.1" customHeight="1" spans="3:11">
      <c r="C53" s="47">
        <v>0</v>
      </c>
      <c r="D53" s="48" t="s">
        <v>355</v>
      </c>
      <c r="F53" s="38"/>
      <c r="G53" s="38"/>
      <c r="H53" s="38"/>
      <c r="I53" s="38"/>
      <c r="J53" s="38"/>
      <c r="K53" s="38"/>
    </row>
    <row r="54" ht="11.1" customHeight="1" spans="3:11">
      <c r="C54" s="49"/>
      <c r="D54" s="48"/>
      <c r="F54" s="38"/>
      <c r="G54" s="38"/>
      <c r="H54" s="38"/>
      <c r="I54" s="38"/>
      <c r="J54" s="38"/>
      <c r="K54" s="38"/>
    </row>
    <row r="55" ht="11.1" customHeight="1" spans="3:11">
      <c r="C55" s="49"/>
      <c r="D55" s="48"/>
      <c r="F55" s="38"/>
      <c r="G55" s="38"/>
      <c r="H55" s="38"/>
      <c r="I55" s="38"/>
      <c r="J55" s="38"/>
      <c r="K55" s="38"/>
    </row>
    <row r="56" ht="11.1" customHeight="1"/>
    <row r="57" ht="11.1" customHeight="1" spans="2:10">
      <c r="B57" s="50" t="s">
        <v>356</v>
      </c>
      <c r="C57" s="50"/>
      <c r="D57" s="51"/>
      <c r="E57" s="71" t="str">
        <f>C8</f>
        <v>MARZO 2026</v>
      </c>
      <c r="F57" s="51"/>
      <c r="G57" s="51"/>
      <c r="H57" s="51"/>
      <c r="I57" s="38"/>
      <c r="J57" s="38"/>
    </row>
    <row r="58" ht="11.1" customHeight="1" spans="2:10">
      <c r="B58" s="38"/>
      <c r="C58" s="38"/>
      <c r="D58" s="38"/>
      <c r="E58" s="38"/>
      <c r="F58" s="52"/>
      <c r="G58" s="52"/>
      <c r="H58" s="52"/>
      <c r="I58" s="52"/>
      <c r="J58" s="38"/>
    </row>
    <row r="59" ht="11.1" customHeight="1" spans="2:10">
      <c r="B59" s="38"/>
      <c r="C59" s="38"/>
      <c r="D59" s="38"/>
      <c r="E59" s="38"/>
      <c r="F59" s="38"/>
      <c r="G59" s="72" t="s">
        <v>357</v>
      </c>
      <c r="H59" s="72"/>
      <c r="I59" s="72"/>
      <c r="J59" s="38"/>
    </row>
    <row r="60" ht="11.1" customHeight="1" spans="2:10">
      <c r="B60" s="38"/>
      <c r="C60" s="38"/>
      <c r="D60" s="38"/>
      <c r="E60" s="38"/>
      <c r="F60" s="38"/>
      <c r="G60" s="73"/>
      <c r="H60" s="73"/>
      <c r="I60" s="51"/>
      <c r="J60" s="38"/>
    </row>
    <row r="61" ht="11.1" customHeight="1" spans="2:10">
      <c r="B61" s="38"/>
      <c r="C61" s="38"/>
      <c r="D61" s="52"/>
      <c r="E61" s="52"/>
      <c r="F61" s="74" t="s">
        <v>17</v>
      </c>
      <c r="G61" s="74"/>
      <c r="H61" s="74"/>
      <c r="I61" s="74"/>
      <c r="J61" s="74"/>
    </row>
    <row r="62" ht="11.1" customHeight="1" spans="2:10">
      <c r="B62" s="38"/>
      <c r="C62" s="38"/>
      <c r="D62" s="52"/>
      <c r="E62" s="52"/>
      <c r="F62" s="52"/>
      <c r="G62" s="72" t="s">
        <v>89</v>
      </c>
      <c r="H62" s="72"/>
      <c r="I62" s="72"/>
      <c r="J62" s="52"/>
    </row>
    <row r="63" ht="11.1" customHeight="1" spans="2:8">
      <c r="B63" s="38"/>
      <c r="C63" s="38"/>
      <c r="D63" s="53"/>
      <c r="E63" s="53"/>
      <c r="F63" s="53"/>
      <c r="G63" s="38"/>
      <c r="H63" s="38"/>
    </row>
    <row r="64" ht="11.1" customHeight="1" spans="2:8">
      <c r="B64" s="38"/>
      <c r="C64" s="38"/>
      <c r="D64" s="43"/>
      <c r="E64" s="43"/>
      <c r="F64" s="43"/>
      <c r="G64" s="38"/>
      <c r="H64" s="38"/>
    </row>
    <row r="65" ht="11.1" customHeight="1" spans="3:11">
      <c r="C65" s="73"/>
      <c r="D65" s="72" t="s">
        <v>358</v>
      </c>
      <c r="E65" s="72"/>
      <c r="F65" s="72"/>
      <c r="G65" s="73"/>
      <c r="H65" s="73"/>
      <c r="I65" s="72" t="s">
        <v>359</v>
      </c>
      <c r="J65" s="72"/>
      <c r="K65" s="72"/>
    </row>
    <row r="66" ht="11.1" customHeight="1" spans="3:11">
      <c r="C66" s="73"/>
      <c r="D66" s="90"/>
      <c r="E66" s="90"/>
      <c r="F66" s="90"/>
      <c r="G66" s="73"/>
      <c r="H66" s="73"/>
      <c r="I66" s="90"/>
      <c r="J66" s="90"/>
      <c r="K66" s="73"/>
    </row>
    <row r="67" ht="11.1" customHeight="1" spans="3:11">
      <c r="C67" s="72" t="s">
        <v>19</v>
      </c>
      <c r="D67" s="72"/>
      <c r="E67" s="72"/>
      <c r="F67" s="72"/>
      <c r="G67" s="72"/>
      <c r="H67" s="73"/>
      <c r="I67" s="74" t="s">
        <v>22</v>
      </c>
      <c r="J67" s="74"/>
      <c r="K67" s="74"/>
    </row>
    <row r="68" ht="11.1" customHeight="1" spans="3:11">
      <c r="C68" s="72" t="s">
        <v>360</v>
      </c>
      <c r="D68" s="72"/>
      <c r="E68" s="72"/>
      <c r="F68" s="72"/>
      <c r="G68" s="72"/>
      <c r="H68" s="73"/>
      <c r="I68" s="72" t="s">
        <v>90</v>
      </c>
      <c r="J68" s="72"/>
      <c r="K68" s="72"/>
    </row>
    <row r="69" ht="11.1" customHeight="1"/>
    <row r="70" ht="11.1" customHeight="1"/>
    <row r="71" ht="11.1" customHeight="1" spans="1:12">
      <c r="A71" s="91" t="s">
        <v>361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</row>
    <row r="72" ht="11.1" customHeight="1" spans="6:6">
      <c r="F72" s="38" t="s">
        <v>307</v>
      </c>
    </row>
    <row r="73" ht="11.1" customHeight="1"/>
    <row r="74" ht="11.1" customHeight="1"/>
    <row r="75" ht="11.1" customHeight="1" spans="2:11">
      <c r="B75" s="38" t="s">
        <v>362</v>
      </c>
      <c r="C75" s="38"/>
      <c r="D75" s="38"/>
      <c r="E75" s="38"/>
      <c r="F75" s="38"/>
      <c r="G75" s="38"/>
      <c r="H75" s="38"/>
      <c r="I75" s="38"/>
      <c r="J75" s="38"/>
      <c r="K75" s="44"/>
    </row>
    <row r="76" ht="11.1" customHeight="1" spans="2:11">
      <c r="B76" s="38" t="s">
        <v>363</v>
      </c>
      <c r="C76" s="38"/>
      <c r="D76" s="38"/>
      <c r="E76" s="38"/>
      <c r="F76" s="38"/>
      <c r="G76" s="38"/>
      <c r="I76" s="138" t="s">
        <v>59</v>
      </c>
      <c r="J76" s="138" t="str">
        <f>E57</f>
        <v>MARZO 2026</v>
      </c>
      <c r="K76" s="138"/>
    </row>
    <row r="77" ht="11.1" customHeight="1" spans="2:10">
      <c r="B77" s="38"/>
      <c r="C77" s="38"/>
      <c r="D77" s="38"/>
      <c r="E77" s="38"/>
      <c r="F77" s="38"/>
      <c r="G77" s="38"/>
      <c r="H77" s="38"/>
      <c r="I77" s="38"/>
      <c r="J77" s="38"/>
    </row>
    <row r="78" ht="11.1" customHeight="1" spans="2:10">
      <c r="B78" s="38"/>
      <c r="C78" s="38"/>
      <c r="D78" s="92" t="s">
        <v>364</v>
      </c>
      <c r="E78" s="117"/>
      <c r="F78" s="118"/>
      <c r="G78" s="38"/>
      <c r="H78" s="38"/>
      <c r="I78" s="38"/>
      <c r="J78" s="38"/>
    </row>
    <row r="79" ht="11.1" customHeight="1" spans="2:10">
      <c r="B79" s="38"/>
      <c r="C79" s="38"/>
      <c r="D79" s="38"/>
      <c r="E79" s="38"/>
      <c r="F79" s="38"/>
      <c r="G79" s="38"/>
      <c r="H79" s="38"/>
      <c r="I79" s="38"/>
      <c r="J79" s="38"/>
    </row>
    <row r="80" ht="11.1" customHeight="1" spans="2:11">
      <c r="B80" s="38"/>
      <c r="C80" s="38"/>
      <c r="D80" s="38"/>
      <c r="E80" s="38"/>
      <c r="F80" s="38"/>
      <c r="G80" s="38"/>
      <c r="H80" s="38"/>
      <c r="I80" s="52"/>
      <c r="J80" s="52"/>
      <c r="K80" s="139"/>
    </row>
    <row r="81" ht="11.1" customHeight="1" spans="2:11">
      <c r="B81" s="38"/>
      <c r="C81" s="40" t="s">
        <v>365</v>
      </c>
      <c r="D81" s="38"/>
      <c r="F81" s="38"/>
      <c r="G81" s="38"/>
      <c r="I81" s="52"/>
      <c r="J81" s="52"/>
      <c r="K81" s="139"/>
    </row>
    <row r="82" ht="11.1" customHeight="1" spans="2:11">
      <c r="B82" s="93"/>
      <c r="C82" s="93"/>
      <c r="D82" s="93"/>
      <c r="E82" s="93"/>
      <c r="F82" s="93"/>
      <c r="G82" s="38"/>
      <c r="I82" s="52"/>
      <c r="J82" s="52"/>
      <c r="K82" s="139"/>
    </row>
    <row r="83" ht="11.1" customHeight="1" spans="1:11">
      <c r="A83" s="46">
        <v>1</v>
      </c>
      <c r="B83" s="46" t="s">
        <v>366</v>
      </c>
      <c r="C83" s="34"/>
      <c r="D83" s="34"/>
      <c r="E83" s="34"/>
      <c r="F83" s="93" t="s">
        <v>367</v>
      </c>
      <c r="G83" s="93"/>
      <c r="I83" s="52"/>
      <c r="J83" s="52"/>
      <c r="K83" s="139"/>
    </row>
    <row r="84" ht="11.1" customHeight="1" spans="1:11">
      <c r="A84" s="46">
        <v>2</v>
      </c>
      <c r="B84" s="46" t="s">
        <v>22</v>
      </c>
      <c r="C84" s="34"/>
      <c r="D84" s="34"/>
      <c r="E84" s="34"/>
      <c r="F84" s="38" t="s">
        <v>368</v>
      </c>
      <c r="G84" s="38"/>
      <c r="I84" s="52"/>
      <c r="J84" s="52"/>
      <c r="K84" s="139"/>
    </row>
    <row r="85" ht="11.1" customHeight="1" spans="1:11">
      <c r="A85" s="46">
        <v>3</v>
      </c>
      <c r="B85" s="46" t="s">
        <v>25</v>
      </c>
      <c r="C85" s="34"/>
      <c r="D85" s="34"/>
      <c r="E85" s="34"/>
      <c r="F85" s="38" t="s">
        <v>369</v>
      </c>
      <c r="G85" s="38"/>
      <c r="I85" s="52"/>
      <c r="J85" s="52"/>
      <c r="K85" s="139"/>
    </row>
    <row r="86" ht="11.1" customHeight="1" spans="1:11">
      <c r="A86" s="46">
        <v>4</v>
      </c>
      <c r="B86" s="46" t="s">
        <v>370</v>
      </c>
      <c r="C86" s="34"/>
      <c r="D86" s="34"/>
      <c r="E86" s="34"/>
      <c r="F86" s="46" t="s">
        <v>371</v>
      </c>
      <c r="I86" s="52"/>
      <c r="J86" s="52"/>
      <c r="K86" s="139"/>
    </row>
    <row r="87" ht="11.1" customHeight="1" spans="1:11">
      <c r="A87" s="46">
        <v>5</v>
      </c>
      <c r="B87" s="46" t="s">
        <v>17</v>
      </c>
      <c r="C87" s="34"/>
      <c r="D87" s="34"/>
      <c r="E87" s="34"/>
      <c r="F87" s="34" t="s">
        <v>372</v>
      </c>
      <c r="G87" s="38"/>
      <c r="I87" s="52"/>
      <c r="J87" s="52"/>
      <c r="K87" s="140" t="s">
        <v>21</v>
      </c>
    </row>
    <row r="88" ht="11.1" customHeight="1" spans="1:11">
      <c r="A88" s="46">
        <v>6</v>
      </c>
      <c r="B88" s="46" t="s">
        <v>373</v>
      </c>
      <c r="C88" s="34"/>
      <c r="D88" s="34"/>
      <c r="E88" s="34"/>
      <c r="F88" s="34" t="s">
        <v>374</v>
      </c>
      <c r="G88" s="38"/>
      <c r="I88" s="52"/>
      <c r="J88" s="52"/>
      <c r="K88" s="139"/>
    </row>
    <row r="89" ht="11.1" customHeight="1" spans="2:11">
      <c r="B89" s="94"/>
      <c r="C89" s="94"/>
      <c r="D89" s="94"/>
      <c r="E89" s="94"/>
      <c r="F89" s="94"/>
      <c r="G89" s="38"/>
      <c r="H89" s="46"/>
      <c r="I89" s="52"/>
      <c r="J89" s="52"/>
      <c r="K89" s="139"/>
    </row>
    <row r="90" ht="11.1" customHeight="1" spans="2:11">
      <c r="B90" s="44"/>
      <c r="C90" s="95" t="s">
        <v>375</v>
      </c>
      <c r="D90" s="44"/>
      <c r="E90" s="44"/>
      <c r="F90" s="44"/>
      <c r="G90" s="38"/>
      <c r="H90" s="38"/>
      <c r="I90" s="52"/>
      <c r="J90" s="52" t="s">
        <v>21</v>
      </c>
      <c r="K90" s="52" t="s">
        <v>21</v>
      </c>
    </row>
    <row r="91" ht="11.1" customHeight="1" spans="1:11">
      <c r="A91" s="46">
        <v>1</v>
      </c>
      <c r="B91" s="96" t="s">
        <v>376</v>
      </c>
      <c r="C91" s="44"/>
      <c r="D91" s="97"/>
      <c r="E91" s="44"/>
      <c r="F91" s="44"/>
      <c r="G91" s="38"/>
      <c r="H91" s="38"/>
      <c r="I91" s="52"/>
      <c r="J91" s="52" t="s">
        <v>21</v>
      </c>
      <c r="K91" s="52" t="s">
        <v>21</v>
      </c>
    </row>
    <row r="92" ht="11.1" customHeight="1" spans="1:11">
      <c r="A92" s="46">
        <v>2</v>
      </c>
      <c r="B92" s="96" t="s">
        <v>377</v>
      </c>
      <c r="C92" s="46"/>
      <c r="D92" s="98"/>
      <c r="E92" s="46"/>
      <c r="F92" s="46"/>
      <c r="G92" s="38"/>
      <c r="H92" s="38"/>
      <c r="I92" s="52"/>
      <c r="J92" s="52"/>
      <c r="K92" s="139"/>
    </row>
    <row r="93" ht="11.1" customHeight="1" spans="1:11">
      <c r="A93" s="46">
        <v>3</v>
      </c>
      <c r="B93" s="96" t="s">
        <v>378</v>
      </c>
      <c r="D93" s="98"/>
      <c r="E93" s="46"/>
      <c r="F93" s="46"/>
      <c r="G93" s="38"/>
      <c r="H93" s="38"/>
      <c r="I93" s="52"/>
      <c r="J93" s="52"/>
      <c r="K93" s="139"/>
    </row>
    <row r="94" ht="11.1" customHeight="1" spans="1:11">
      <c r="A94" s="46">
        <v>4</v>
      </c>
      <c r="B94" s="96" t="s">
        <v>379</v>
      </c>
      <c r="C94" s="46"/>
      <c r="D94" s="98"/>
      <c r="E94" s="46"/>
      <c r="F94" s="46"/>
      <c r="G94" s="38"/>
      <c r="H94" s="38"/>
      <c r="I94" s="52"/>
      <c r="J94" s="52"/>
      <c r="K94" s="139"/>
    </row>
    <row r="95" ht="11.1" customHeight="1" spans="1:11">
      <c r="A95" s="46">
        <v>5</v>
      </c>
      <c r="B95" s="96" t="s">
        <v>31</v>
      </c>
      <c r="C95" s="46"/>
      <c r="D95" s="98"/>
      <c r="E95" s="46"/>
      <c r="F95" s="46"/>
      <c r="G95" s="38"/>
      <c r="H95" s="38"/>
      <c r="I95" s="52"/>
      <c r="J95" s="52"/>
      <c r="K95" s="139"/>
    </row>
    <row r="96" ht="11.1" customHeight="1" spans="1:11">
      <c r="A96" s="46">
        <v>6</v>
      </c>
      <c r="B96" s="96" t="s">
        <v>380</v>
      </c>
      <c r="C96" s="46"/>
      <c r="D96" s="98"/>
      <c r="E96" s="46"/>
      <c r="F96" s="46"/>
      <c r="G96" s="38"/>
      <c r="H96" s="38"/>
      <c r="I96" s="52"/>
      <c r="J96" s="52"/>
      <c r="K96" s="139"/>
    </row>
    <row r="97" ht="11.1" customHeight="1" spans="2:11">
      <c r="B97" s="46"/>
      <c r="C97" s="46"/>
      <c r="D97" s="46"/>
      <c r="E97" s="46"/>
      <c r="F97" s="46"/>
      <c r="G97" s="38"/>
      <c r="H97" s="38"/>
      <c r="I97" s="52"/>
      <c r="J97" s="52"/>
      <c r="K97" s="139"/>
    </row>
    <row r="98" ht="11.1" customHeight="1" spans="2:11">
      <c r="B98" s="46"/>
      <c r="C98" s="95" t="s">
        <v>381</v>
      </c>
      <c r="D98" s="46"/>
      <c r="E98" s="46"/>
      <c r="F98" s="46"/>
      <c r="G98" s="38"/>
      <c r="H98" s="38"/>
      <c r="I98" s="52"/>
      <c r="J98" s="52"/>
      <c r="K98" s="139"/>
    </row>
    <row r="99" ht="11.1" customHeight="1" spans="1:11">
      <c r="A99" s="46">
        <v>1</v>
      </c>
      <c r="B99" s="46" t="s">
        <v>382</v>
      </c>
      <c r="C99" s="46"/>
      <c r="D99" s="46"/>
      <c r="E99" s="46"/>
      <c r="F99" s="46"/>
      <c r="G99" s="38" t="s">
        <v>21</v>
      </c>
      <c r="H99" s="38"/>
      <c r="I99" s="52"/>
      <c r="J99" s="52"/>
      <c r="K99" s="139"/>
    </row>
    <row r="100" ht="11.1" customHeight="1" spans="1:11">
      <c r="A100" s="46">
        <v>2</v>
      </c>
      <c r="B100" s="46" t="s">
        <v>383</v>
      </c>
      <c r="C100" s="46"/>
      <c r="D100" s="46"/>
      <c r="E100" s="46"/>
      <c r="F100" s="46"/>
      <c r="G100" s="38"/>
      <c r="H100" s="38"/>
      <c r="I100" s="52"/>
      <c r="J100" s="52"/>
      <c r="K100" s="139"/>
    </row>
    <row r="101" ht="11.1" customHeight="1" spans="1:11">
      <c r="A101" s="46">
        <v>3</v>
      </c>
      <c r="B101" s="46" t="s">
        <v>384</v>
      </c>
      <c r="C101" s="46"/>
      <c r="D101" s="46"/>
      <c r="E101" s="46"/>
      <c r="F101" s="46"/>
      <c r="G101" s="38"/>
      <c r="H101" s="38"/>
      <c r="I101" s="52"/>
      <c r="J101" s="52"/>
      <c r="K101" s="139"/>
    </row>
    <row r="102" ht="11.1" customHeight="1" spans="1:11">
      <c r="A102" s="46">
        <v>4</v>
      </c>
      <c r="B102" s="46" t="s">
        <v>385</v>
      </c>
      <c r="C102" s="46"/>
      <c r="D102" s="46"/>
      <c r="E102" s="46"/>
      <c r="F102" s="46"/>
      <c r="G102" s="38"/>
      <c r="H102" s="38"/>
      <c r="I102" s="52"/>
      <c r="J102" s="52"/>
      <c r="K102" s="139"/>
    </row>
    <row r="103" ht="11.1" customHeight="1" spans="1:11">
      <c r="A103" s="46">
        <v>5</v>
      </c>
      <c r="B103" s="46" t="s">
        <v>386</v>
      </c>
      <c r="C103" s="46"/>
      <c r="D103" s="46"/>
      <c r="F103" s="46"/>
      <c r="G103" s="38"/>
      <c r="H103" s="38"/>
      <c r="I103" s="52"/>
      <c r="J103" s="52"/>
      <c r="K103" s="139"/>
    </row>
    <row r="104" ht="11.1" customHeight="1" spans="1:11">
      <c r="A104" s="46">
        <v>6</v>
      </c>
      <c r="B104" s="46"/>
      <c r="C104" s="38"/>
      <c r="D104" s="38"/>
      <c r="E104" s="38"/>
      <c r="F104" s="38"/>
      <c r="G104" s="38"/>
      <c r="H104" s="38"/>
      <c r="I104" s="52"/>
      <c r="J104" s="52"/>
      <c r="K104" s="139"/>
    </row>
    <row r="105" ht="11.1" customHeight="1" spans="2:11">
      <c r="B105" s="99"/>
      <c r="C105" s="99"/>
      <c r="D105" s="99"/>
      <c r="F105" s="99"/>
      <c r="G105" s="52"/>
      <c r="H105" s="52"/>
      <c r="I105" s="52"/>
      <c r="J105" s="52"/>
      <c r="K105" s="139"/>
    </row>
    <row r="106" ht="11.1" customHeight="1" spans="2:11">
      <c r="B106" s="52"/>
      <c r="C106" s="52"/>
      <c r="D106" s="52"/>
      <c r="E106" s="52"/>
      <c r="F106" s="52"/>
      <c r="G106" s="52"/>
      <c r="H106" s="52"/>
      <c r="I106" s="52"/>
      <c r="J106" s="52"/>
      <c r="K106" s="139"/>
    </row>
    <row r="107" ht="11.1" customHeight="1" spans="2:11">
      <c r="B107" s="52"/>
      <c r="C107" s="52"/>
      <c r="D107" s="52"/>
      <c r="E107" s="119" t="s">
        <v>387</v>
      </c>
      <c r="F107" s="52"/>
      <c r="G107" s="52"/>
      <c r="H107" s="52"/>
      <c r="I107" s="52"/>
      <c r="J107" s="52"/>
      <c r="K107" s="139"/>
    </row>
    <row r="108" ht="11.1" customHeight="1" spans="2:11">
      <c r="B108" s="52"/>
      <c r="C108" s="52"/>
      <c r="D108" s="52"/>
      <c r="E108" s="52"/>
      <c r="F108" s="52"/>
      <c r="G108" s="52"/>
      <c r="H108" s="52"/>
      <c r="I108" s="52"/>
      <c r="J108" s="52"/>
      <c r="K108" s="139"/>
    </row>
    <row r="109" ht="11.1" customHeight="1" spans="2:11">
      <c r="B109" s="52"/>
      <c r="C109" s="52"/>
      <c r="D109" s="52"/>
      <c r="E109" s="52"/>
      <c r="F109" s="52"/>
      <c r="G109" s="52"/>
      <c r="H109" s="52"/>
      <c r="I109" s="52"/>
      <c r="J109" s="52"/>
      <c r="K109" s="139"/>
    </row>
    <row r="110" ht="11.1" customHeight="1" spans="2:10">
      <c r="B110" s="38"/>
      <c r="C110" s="38"/>
      <c r="D110" s="52"/>
      <c r="E110" s="52"/>
      <c r="F110" s="52"/>
      <c r="G110" s="52"/>
      <c r="H110" s="52"/>
      <c r="I110" s="52"/>
      <c r="J110" s="52"/>
    </row>
    <row r="111" ht="11.1" customHeight="1" spans="2:11">
      <c r="B111" s="100" t="s">
        <v>388</v>
      </c>
      <c r="C111" s="101"/>
      <c r="D111" s="101"/>
      <c r="E111" s="101"/>
      <c r="F111" s="101"/>
      <c r="G111" s="101"/>
      <c r="H111" s="101"/>
      <c r="I111" s="101"/>
      <c r="J111" s="101"/>
      <c r="K111" s="141"/>
    </row>
    <row r="112" ht="11.1" customHeight="1" spans="2:10">
      <c r="B112" s="38"/>
      <c r="C112" s="38"/>
      <c r="D112" s="52"/>
      <c r="E112" s="52"/>
      <c r="F112" s="52"/>
      <c r="G112" s="52"/>
      <c r="H112" s="52"/>
      <c r="I112" s="52"/>
      <c r="J112" s="52"/>
    </row>
    <row r="113" ht="11.1" customHeight="1" spans="2:12">
      <c r="B113" s="55" t="s">
        <v>389</v>
      </c>
      <c r="C113" s="102"/>
      <c r="D113" s="102"/>
      <c r="E113" s="120"/>
      <c r="F113" s="121" t="s">
        <v>390</v>
      </c>
      <c r="G113" s="102" t="s">
        <v>59</v>
      </c>
      <c r="H113" s="120"/>
      <c r="I113" s="142" t="s">
        <v>391</v>
      </c>
      <c r="J113" s="143" t="s">
        <v>392</v>
      </c>
      <c r="K113" s="144"/>
      <c r="L113" s="145"/>
    </row>
    <row r="114" ht="11.1" customHeight="1" spans="2:12">
      <c r="B114" s="103" t="s">
        <v>393</v>
      </c>
      <c r="C114" s="104"/>
      <c r="D114" s="104"/>
      <c r="E114" s="122"/>
      <c r="F114" s="123" t="s">
        <v>394</v>
      </c>
      <c r="G114" s="124">
        <v>46083</v>
      </c>
      <c r="H114" s="125"/>
      <c r="I114" s="146" t="s">
        <v>395</v>
      </c>
      <c r="J114" s="147" t="s">
        <v>396</v>
      </c>
      <c r="K114" s="148"/>
      <c r="L114" s="139"/>
    </row>
    <row r="115" ht="11.1" customHeight="1" spans="2:11">
      <c r="B115" s="105"/>
      <c r="C115" s="106"/>
      <c r="D115" s="106"/>
      <c r="E115" s="126"/>
      <c r="F115" s="127"/>
      <c r="G115" s="128"/>
      <c r="H115" s="129"/>
      <c r="I115" s="146"/>
      <c r="J115" s="149" t="s">
        <v>21</v>
      </c>
      <c r="K115" s="150"/>
    </row>
    <row r="116" ht="11.1" customHeight="1" spans="2:11">
      <c r="B116" s="107"/>
      <c r="C116" s="108"/>
      <c r="D116" s="108"/>
      <c r="E116" s="130"/>
      <c r="F116" s="131"/>
      <c r="G116" s="132"/>
      <c r="H116" s="133"/>
      <c r="I116" s="151"/>
      <c r="J116" s="152"/>
      <c r="K116" s="153"/>
    </row>
    <row r="117" ht="11.1" customHeight="1" spans="2:11">
      <c r="B117" s="107"/>
      <c r="C117" s="108"/>
      <c r="D117" s="108"/>
      <c r="E117" s="130"/>
      <c r="F117" s="131"/>
      <c r="G117" s="132"/>
      <c r="H117" s="133"/>
      <c r="I117" s="151"/>
      <c r="J117" s="152"/>
      <c r="K117" s="153"/>
    </row>
    <row r="118" ht="11.1" customHeight="1" spans="2:11">
      <c r="B118" s="109"/>
      <c r="C118" s="110"/>
      <c r="D118" s="110"/>
      <c r="E118" s="134"/>
      <c r="F118" s="135"/>
      <c r="G118" s="136"/>
      <c r="H118" s="134"/>
      <c r="I118" s="154"/>
      <c r="J118" s="151"/>
      <c r="K118" s="155"/>
    </row>
    <row r="119" ht="11.1" customHeight="1" spans="2:11">
      <c r="B119" s="111"/>
      <c r="C119" s="112"/>
      <c r="D119" s="112"/>
      <c r="E119" s="49"/>
      <c r="F119" s="137"/>
      <c r="G119" s="137"/>
      <c r="H119" s="49"/>
      <c r="I119" s="112"/>
      <c r="J119" s="112"/>
      <c r="K119" s="156"/>
    </row>
    <row r="120" ht="11.1" customHeight="1" spans="2:11">
      <c r="B120" s="111"/>
      <c r="C120" s="112"/>
      <c r="D120" s="112"/>
      <c r="E120" s="49"/>
      <c r="F120" s="137"/>
      <c r="G120" s="137"/>
      <c r="H120" s="49"/>
      <c r="I120" s="112"/>
      <c r="J120" s="112"/>
      <c r="K120" s="156"/>
    </row>
    <row r="121" ht="11.1" customHeight="1" spans="2:11">
      <c r="B121" s="111"/>
      <c r="C121" s="112"/>
      <c r="D121" s="112"/>
      <c r="E121" s="49"/>
      <c r="F121" s="137"/>
      <c r="G121" s="137"/>
      <c r="H121" s="49"/>
      <c r="I121" s="112"/>
      <c r="J121" s="112"/>
      <c r="K121" s="156"/>
    </row>
    <row r="122" ht="11.1" customHeight="1" spans="2:11">
      <c r="B122" s="111"/>
      <c r="C122" s="112"/>
      <c r="D122" s="112"/>
      <c r="E122" s="49"/>
      <c r="F122" s="137"/>
      <c r="G122" s="137"/>
      <c r="H122" s="49"/>
      <c r="I122" s="112"/>
      <c r="J122" s="112"/>
      <c r="K122" s="156"/>
    </row>
    <row r="123" ht="11.1" customHeight="1" spans="2:11">
      <c r="B123" s="111"/>
      <c r="C123" s="112"/>
      <c r="D123" s="112"/>
      <c r="E123" s="49"/>
      <c r="F123" s="137"/>
      <c r="G123" s="137"/>
      <c r="H123" s="49"/>
      <c r="I123" s="112"/>
      <c r="J123" s="112"/>
      <c r="K123" s="156"/>
    </row>
    <row r="124" ht="11.1" customHeight="1" spans="2:11">
      <c r="B124" s="113"/>
      <c r="C124" s="114"/>
      <c r="D124" s="114"/>
      <c r="E124" s="114"/>
      <c r="F124" s="114"/>
      <c r="G124" s="114"/>
      <c r="H124" s="114"/>
      <c r="I124" s="114"/>
      <c r="J124" s="114"/>
      <c r="K124" s="157"/>
    </row>
    <row r="125" ht="11.1" customHeight="1" spans="2:11">
      <c r="B125" s="113"/>
      <c r="C125" s="114"/>
      <c r="D125" s="114"/>
      <c r="E125" s="114"/>
      <c r="F125" s="114"/>
      <c r="G125" s="114"/>
      <c r="H125" s="114"/>
      <c r="I125" s="114"/>
      <c r="J125" s="114"/>
      <c r="K125" s="157"/>
    </row>
    <row r="126" ht="11.1" customHeight="1" spans="2:11">
      <c r="B126" s="115"/>
      <c r="C126" s="116"/>
      <c r="D126" s="116"/>
      <c r="E126" s="116"/>
      <c r="F126" s="116"/>
      <c r="G126" s="116"/>
      <c r="H126" s="116"/>
      <c r="I126" s="116"/>
      <c r="J126" s="116"/>
      <c r="K126" s="158"/>
    </row>
    <row r="127" spans="2:11">
      <c r="B127" s="73"/>
      <c r="C127" s="114"/>
      <c r="D127" s="114"/>
      <c r="E127" s="114"/>
      <c r="F127" s="114"/>
      <c r="G127" s="114"/>
      <c r="H127" s="114"/>
      <c r="I127" s="114"/>
      <c r="J127" s="114"/>
      <c r="K127" s="114"/>
    </row>
    <row r="135" spans="3:10">
      <c r="C135" s="32" t="s">
        <v>44</v>
      </c>
      <c r="D135" s="33"/>
      <c r="E135" s="33"/>
      <c r="F135" s="33"/>
      <c r="G135" s="33"/>
      <c r="H135" s="33"/>
      <c r="I135" s="33"/>
      <c r="J135" s="33"/>
    </row>
    <row r="136" spans="1:12">
      <c r="A136" s="34" t="s">
        <v>306</v>
      </c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</row>
    <row r="137" spans="6:6">
      <c r="F137" s="38" t="s">
        <v>307</v>
      </c>
    </row>
    <row r="138" ht="11.1" customHeight="1"/>
    <row r="139" spans="2:4">
      <c r="B139" s="35" t="s">
        <v>308</v>
      </c>
      <c r="D139" s="35" t="s">
        <v>309</v>
      </c>
    </row>
    <row r="140" ht="11.1" customHeight="1" spans="2:5">
      <c r="B140" s="36" t="s">
        <v>310</v>
      </c>
      <c r="C140" s="37" t="s">
        <v>301</v>
      </c>
      <c r="D140" s="37"/>
      <c r="E140" s="37"/>
    </row>
    <row r="141" ht="11.1" customHeight="1" spans="2:10">
      <c r="B141" s="38" t="s">
        <v>311</v>
      </c>
      <c r="J141" s="75" t="s">
        <v>312</v>
      </c>
    </row>
    <row r="142" ht="11.1" customHeight="1" spans="2:10">
      <c r="B142" s="39" t="s">
        <v>53</v>
      </c>
      <c r="F142" s="40"/>
      <c r="G142" s="40"/>
      <c r="H142" s="40"/>
      <c r="I142" s="76" t="s">
        <v>313</v>
      </c>
      <c r="J142" s="77"/>
    </row>
    <row r="143" ht="11.1" customHeight="1" spans="2:10">
      <c r="B143" s="39"/>
      <c r="F143" s="54" t="s">
        <v>314</v>
      </c>
      <c r="G143" s="54" t="s">
        <v>315</v>
      </c>
      <c r="H143" s="55" t="s">
        <v>316</v>
      </c>
      <c r="I143" s="78"/>
      <c r="J143" s="79"/>
    </row>
    <row r="144" ht="11.1" customHeight="1"/>
    <row r="145" ht="11.1" customHeight="1" spans="2:10">
      <c r="B145" s="38" t="s">
        <v>317</v>
      </c>
      <c r="F145" s="56">
        <v>1</v>
      </c>
      <c r="G145" s="56">
        <v>18</v>
      </c>
      <c r="H145" s="57">
        <v>120</v>
      </c>
      <c r="I145" s="80">
        <f>F145*G145*H145</f>
        <v>2160</v>
      </c>
      <c r="J145" s="56"/>
    </row>
    <row r="146" ht="11.1" customHeight="1" spans="2:10">
      <c r="B146" s="40" t="s">
        <v>318</v>
      </c>
      <c r="F146" s="58"/>
      <c r="G146" s="58"/>
      <c r="H146" s="58" t="s">
        <v>21</v>
      </c>
      <c r="I146" s="58" t="s">
        <v>21</v>
      </c>
      <c r="J146" s="58"/>
    </row>
    <row r="147" ht="11.1" customHeight="1" spans="2:10">
      <c r="B147" s="38" t="s">
        <v>319</v>
      </c>
      <c r="F147" s="59" t="s">
        <v>21</v>
      </c>
      <c r="G147" s="60">
        <v>0</v>
      </c>
      <c r="H147" s="61">
        <v>250</v>
      </c>
      <c r="I147" s="81" t="e">
        <f>#REF!*H147</f>
        <v>#REF!</v>
      </c>
      <c r="J147" s="59"/>
    </row>
    <row r="148" ht="11.1" customHeight="1" spans="2:10">
      <c r="B148" s="38" t="s">
        <v>320</v>
      </c>
      <c r="F148" s="59"/>
      <c r="G148" s="60">
        <v>0</v>
      </c>
      <c r="H148" s="61">
        <v>250</v>
      </c>
      <c r="I148" s="81">
        <f t="shared" ref="I148:I151" si="2">G148*H148</f>
        <v>0</v>
      </c>
      <c r="J148" s="59"/>
    </row>
    <row r="149" ht="11.1" customHeight="1" spans="2:10">
      <c r="B149" s="38" t="s">
        <v>321</v>
      </c>
      <c r="F149" s="59"/>
      <c r="G149" s="60">
        <v>0</v>
      </c>
      <c r="H149" s="61">
        <v>250</v>
      </c>
      <c r="I149" s="61">
        <f t="shared" si="2"/>
        <v>0</v>
      </c>
      <c r="J149" s="59"/>
    </row>
    <row r="150" ht="11.1" customHeight="1" spans="2:10">
      <c r="B150" s="38" t="s">
        <v>322</v>
      </c>
      <c r="F150" s="59"/>
      <c r="G150" s="60">
        <v>0</v>
      </c>
      <c r="H150" s="61">
        <v>250</v>
      </c>
      <c r="I150" s="81">
        <f t="shared" si="2"/>
        <v>0</v>
      </c>
      <c r="J150" s="59"/>
    </row>
    <row r="151" ht="11.1" customHeight="1" spans="2:10">
      <c r="B151" s="38" t="s">
        <v>323</v>
      </c>
      <c r="F151" s="59"/>
      <c r="G151" s="60">
        <v>0</v>
      </c>
      <c r="H151" s="61">
        <v>250</v>
      </c>
      <c r="I151" s="61">
        <f t="shared" si="2"/>
        <v>0</v>
      </c>
      <c r="J151" s="59"/>
    </row>
    <row r="152" ht="11.1" customHeight="1" spans="2:10">
      <c r="B152" s="38"/>
      <c r="F152" s="59"/>
      <c r="G152" s="60"/>
      <c r="H152" s="60"/>
      <c r="I152" s="60"/>
      <c r="J152" s="59"/>
    </row>
    <row r="153" ht="11.1" customHeight="1" spans="2:10">
      <c r="B153" s="40" t="s">
        <v>324</v>
      </c>
      <c r="C153" s="41"/>
      <c r="F153" s="59"/>
      <c r="G153" s="60"/>
      <c r="H153" s="62"/>
      <c r="I153" s="82"/>
      <c r="J153" s="59"/>
    </row>
    <row r="154" ht="11.1" customHeight="1" spans="2:10">
      <c r="B154" s="38"/>
      <c r="F154" s="59"/>
      <c r="G154" s="60"/>
      <c r="H154" s="60"/>
      <c r="I154" s="60"/>
      <c r="J154" s="59"/>
    </row>
    <row r="155" ht="11.1" customHeight="1" spans="2:10">
      <c r="B155" s="38" t="s">
        <v>325</v>
      </c>
      <c r="F155" s="59">
        <f>F145</f>
        <v>1</v>
      </c>
      <c r="G155" s="60">
        <f>G145</f>
        <v>18</v>
      </c>
      <c r="H155" s="63">
        <v>18</v>
      </c>
      <c r="I155" s="83">
        <f>F155*G155*H155</f>
        <v>324</v>
      </c>
      <c r="J155" s="59"/>
    </row>
    <row r="156" ht="11.1" customHeight="1" spans="2:10">
      <c r="B156" s="38" t="s">
        <v>326</v>
      </c>
      <c r="F156" s="59">
        <v>1</v>
      </c>
      <c r="G156" s="407" t="s">
        <v>327</v>
      </c>
      <c r="H156" s="64">
        <v>150</v>
      </c>
      <c r="I156" s="83">
        <f t="shared" ref="I156:I158" si="3">F156*H156</f>
        <v>150</v>
      </c>
      <c r="J156" s="59"/>
    </row>
    <row r="157" ht="11.1" customHeight="1" spans="2:10">
      <c r="B157" s="38" t="s">
        <v>328</v>
      </c>
      <c r="F157" s="59">
        <v>1</v>
      </c>
      <c r="G157" s="407" t="s">
        <v>327</v>
      </c>
      <c r="H157" s="64">
        <v>70</v>
      </c>
      <c r="I157" s="83">
        <f t="shared" si="3"/>
        <v>70</v>
      </c>
      <c r="J157" s="59"/>
    </row>
    <row r="158" ht="11.1" customHeight="1" spans="2:10">
      <c r="B158" s="38" t="s">
        <v>329</v>
      </c>
      <c r="F158" s="59">
        <f>F145</f>
        <v>1</v>
      </c>
      <c r="G158" s="407" t="s">
        <v>327</v>
      </c>
      <c r="H158" s="64">
        <v>800</v>
      </c>
      <c r="I158" s="83">
        <f t="shared" si="3"/>
        <v>800</v>
      </c>
      <c r="J158" s="59"/>
    </row>
    <row r="159" ht="11.1" customHeight="1" spans="2:10">
      <c r="B159" s="38"/>
      <c r="F159" s="59"/>
      <c r="G159" s="59"/>
      <c r="H159" s="65"/>
      <c r="I159" s="65"/>
      <c r="J159" s="59"/>
    </row>
    <row r="160" ht="11.1" customHeight="1" spans="2:10">
      <c r="B160" s="38" t="s">
        <v>330</v>
      </c>
      <c r="F160" s="59">
        <v>0</v>
      </c>
      <c r="G160" s="408" t="s">
        <v>327</v>
      </c>
      <c r="H160" s="65">
        <v>500</v>
      </c>
      <c r="I160" s="83">
        <f>F160*H160</f>
        <v>0</v>
      </c>
      <c r="J160" s="59"/>
    </row>
    <row r="161" ht="11.1" customHeight="1" spans="2:10">
      <c r="B161" s="38"/>
      <c r="F161" s="59"/>
      <c r="G161" s="59"/>
      <c r="H161" s="65"/>
      <c r="I161" s="65"/>
      <c r="J161" s="59"/>
    </row>
    <row r="162" ht="11.1" customHeight="1" spans="2:10">
      <c r="B162" s="40" t="s">
        <v>331</v>
      </c>
      <c r="F162" s="59"/>
      <c r="G162" s="59"/>
      <c r="H162" s="65"/>
      <c r="I162" s="65"/>
      <c r="J162" s="59"/>
    </row>
    <row r="163" ht="11.1" customHeight="1" spans="2:10">
      <c r="B163" s="38"/>
      <c r="F163" s="59"/>
      <c r="G163" s="59"/>
      <c r="H163" s="65"/>
      <c r="I163" s="65"/>
      <c r="J163" s="59"/>
    </row>
    <row r="164" ht="11.1" customHeight="1" spans="2:10">
      <c r="B164" s="38" t="s">
        <v>332</v>
      </c>
      <c r="F164" s="59"/>
      <c r="G164" s="59">
        <v>0</v>
      </c>
      <c r="H164" s="66">
        <v>150</v>
      </c>
      <c r="I164" s="65"/>
      <c r="J164" s="84">
        <f>G164*H164</f>
        <v>0</v>
      </c>
    </row>
    <row r="165" ht="11.1" customHeight="1" spans="2:10">
      <c r="B165" s="38" t="s">
        <v>333</v>
      </c>
      <c r="F165" s="59">
        <v>1</v>
      </c>
      <c r="G165" s="59">
        <f>G145</f>
        <v>18</v>
      </c>
      <c r="H165" s="66">
        <v>10</v>
      </c>
      <c r="I165" s="65"/>
      <c r="J165" s="84">
        <f>F165*G165*H165</f>
        <v>180</v>
      </c>
    </row>
    <row r="166" ht="11.1" customHeight="1" spans="2:10">
      <c r="B166" s="38" t="s">
        <v>334</v>
      </c>
      <c r="C166" s="42"/>
      <c r="D166" s="43" t="s">
        <v>335</v>
      </c>
      <c r="E166" s="67" t="s">
        <v>21</v>
      </c>
      <c r="F166" s="68">
        <v>0</v>
      </c>
      <c r="G166" s="68">
        <f>G145</f>
        <v>18</v>
      </c>
      <c r="H166" s="69">
        <v>50</v>
      </c>
      <c r="I166" s="85"/>
      <c r="J166" s="86">
        <f>F166*G166*H166</f>
        <v>0</v>
      </c>
    </row>
    <row r="167" ht="11.1" customHeight="1" spans="6:10">
      <c r="F167" s="53"/>
      <c r="G167" s="53"/>
      <c r="H167" s="70" t="s">
        <v>336</v>
      </c>
      <c r="I167" s="87" t="e">
        <f>SUM(I145:I166)</f>
        <v>#REF!</v>
      </c>
      <c r="J167" s="87">
        <f>SUM(J145:J166)</f>
        <v>180</v>
      </c>
    </row>
    <row r="168" ht="11.1" customHeight="1" spans="8:10">
      <c r="H168" s="70" t="s">
        <v>58</v>
      </c>
      <c r="I168" s="88" t="e">
        <f>I167+J167</f>
        <v>#REF!</v>
      </c>
      <c r="J168" s="89"/>
    </row>
    <row r="169" ht="11.1" customHeight="1"/>
    <row r="170" ht="11.1" customHeight="1" spans="3:10">
      <c r="C170" s="40" t="s">
        <v>285</v>
      </c>
      <c r="E170" s="44"/>
      <c r="G170" s="40" t="s">
        <v>337</v>
      </c>
      <c r="H170" s="38"/>
      <c r="I170" s="38"/>
      <c r="J170" s="40" t="s">
        <v>338</v>
      </c>
    </row>
    <row r="171" ht="11.1" customHeight="1" spans="3:5">
      <c r="C171" s="44"/>
      <c r="D171" s="44"/>
      <c r="E171" s="44"/>
    </row>
    <row r="172" ht="11.1" customHeight="1" spans="3:11">
      <c r="C172" s="45">
        <v>6</v>
      </c>
      <c r="D172" s="38" t="s">
        <v>339</v>
      </c>
      <c r="E172" s="38"/>
      <c r="F172" s="38"/>
      <c r="G172" s="45">
        <v>0</v>
      </c>
      <c r="H172" s="38" t="s">
        <v>340</v>
      </c>
      <c r="I172" s="38"/>
      <c r="J172" s="45">
        <v>0</v>
      </c>
      <c r="K172" s="38" t="s">
        <v>341</v>
      </c>
    </row>
    <row r="173" ht="11.1" customHeight="1" spans="3:11">
      <c r="C173" s="45">
        <v>6</v>
      </c>
      <c r="D173" s="38" t="s">
        <v>342</v>
      </c>
      <c r="E173" s="38"/>
      <c r="F173" s="38"/>
      <c r="G173" s="45">
        <v>0</v>
      </c>
      <c r="H173" s="38" t="s">
        <v>343</v>
      </c>
      <c r="I173" s="38"/>
      <c r="J173" s="45">
        <v>0</v>
      </c>
      <c r="K173" s="38" t="s">
        <v>344</v>
      </c>
    </row>
    <row r="174" ht="11.1" customHeight="1" spans="3:11">
      <c r="C174" s="45">
        <v>6</v>
      </c>
      <c r="D174" s="38" t="s">
        <v>345</v>
      </c>
      <c r="E174" s="38"/>
      <c r="F174" s="38"/>
      <c r="G174" s="45">
        <v>0</v>
      </c>
      <c r="H174" s="38" t="s">
        <v>346</v>
      </c>
      <c r="I174" s="38"/>
      <c r="J174" s="45">
        <f>J172+J173</f>
        <v>0</v>
      </c>
      <c r="K174" s="38" t="s">
        <v>58</v>
      </c>
    </row>
    <row r="175" ht="11.1" customHeight="1" spans="3:11">
      <c r="C175" s="45">
        <f>C172+C173+C174</f>
        <v>18</v>
      </c>
      <c r="D175" s="38" t="s">
        <v>58</v>
      </c>
      <c r="E175" s="38"/>
      <c r="F175" s="38"/>
      <c r="G175" s="45">
        <f>G172+G173+G174</f>
        <v>0</v>
      </c>
      <c r="H175" s="38" t="s">
        <v>58</v>
      </c>
      <c r="I175" s="38"/>
      <c r="J175" s="53"/>
      <c r="K175" s="38"/>
    </row>
    <row r="176" ht="11.1" customHeight="1" spans="3:11">
      <c r="C176" s="38"/>
      <c r="D176" s="38"/>
      <c r="E176" s="38"/>
      <c r="F176" s="38"/>
      <c r="G176" s="38"/>
      <c r="H176" s="38"/>
      <c r="I176" s="38"/>
      <c r="J176" s="38"/>
      <c r="K176" s="38"/>
    </row>
    <row r="177" ht="11.1" customHeight="1" spans="3:11">
      <c r="C177" s="40" t="s">
        <v>347</v>
      </c>
      <c r="D177" s="38"/>
      <c r="F177" s="38"/>
      <c r="G177" s="38"/>
      <c r="H177" s="38"/>
      <c r="J177" s="40" t="s">
        <v>82</v>
      </c>
      <c r="K177" s="38"/>
    </row>
    <row r="178" ht="11.1" customHeight="1" spans="3:11">
      <c r="C178" s="45">
        <v>0</v>
      </c>
      <c r="D178" s="46" t="s">
        <v>348</v>
      </c>
      <c r="F178" s="38"/>
      <c r="G178" s="38"/>
      <c r="H178" s="38"/>
      <c r="J178" s="45">
        <v>0</v>
      </c>
      <c r="K178" s="38" t="s">
        <v>349</v>
      </c>
    </row>
    <row r="179" ht="11.1" customHeight="1" spans="3:11">
      <c r="C179" s="45">
        <v>0</v>
      </c>
      <c r="D179" s="38" t="s">
        <v>350</v>
      </c>
      <c r="F179" s="38"/>
      <c r="G179" s="38"/>
      <c r="H179" s="38"/>
      <c r="J179" s="45">
        <v>2</v>
      </c>
      <c r="K179" s="38" t="s">
        <v>351</v>
      </c>
    </row>
    <row r="180" ht="11.1" customHeight="1" spans="3:11">
      <c r="C180" s="45">
        <f>C178+C179</f>
        <v>0</v>
      </c>
      <c r="D180" s="38" t="s">
        <v>58</v>
      </c>
      <c r="F180" s="38"/>
      <c r="G180" s="38"/>
      <c r="H180" s="38"/>
      <c r="J180" s="45">
        <f>J178+J179</f>
        <v>2</v>
      </c>
      <c r="K180" s="38" t="s">
        <v>58</v>
      </c>
    </row>
    <row r="181" ht="11.1" customHeight="1" spans="3:11">
      <c r="C181" s="38"/>
      <c r="D181" s="38"/>
      <c r="E181" s="38"/>
      <c r="F181" s="38"/>
      <c r="G181" s="38"/>
      <c r="H181" s="38"/>
      <c r="I181" s="38"/>
      <c r="J181" s="38"/>
      <c r="K181" s="38"/>
    </row>
    <row r="182" ht="11.1" customHeight="1" spans="3:11">
      <c r="C182" s="40" t="s">
        <v>352</v>
      </c>
      <c r="D182" s="38"/>
      <c r="F182" s="38"/>
      <c r="G182" s="38"/>
      <c r="H182" s="38"/>
      <c r="I182" s="38"/>
      <c r="J182" s="38"/>
      <c r="K182" s="38"/>
    </row>
    <row r="183" ht="11.1" customHeight="1" spans="3:11">
      <c r="C183" s="47">
        <v>18</v>
      </c>
      <c r="D183" s="38" t="s">
        <v>353</v>
      </c>
      <c r="F183" s="38"/>
      <c r="G183" s="38"/>
      <c r="H183" s="38"/>
      <c r="I183" s="38"/>
      <c r="J183" s="38"/>
      <c r="K183" s="38"/>
    </row>
    <row r="184" ht="11.1" customHeight="1" spans="3:11">
      <c r="C184" s="47">
        <v>18</v>
      </c>
      <c r="D184" s="38" t="s">
        <v>354</v>
      </c>
      <c r="F184" s="38"/>
      <c r="G184" s="38"/>
      <c r="H184" s="38"/>
      <c r="I184" s="38"/>
      <c r="J184" s="38"/>
      <c r="K184" s="38"/>
    </row>
    <row r="185" ht="11.1" customHeight="1" spans="3:11">
      <c r="C185" s="47">
        <v>0</v>
      </c>
      <c r="D185" s="48" t="s">
        <v>355</v>
      </c>
      <c r="F185" s="38"/>
      <c r="G185" s="38"/>
      <c r="H185" s="38"/>
      <c r="I185" s="38"/>
      <c r="J185" s="38"/>
      <c r="K185" s="38"/>
    </row>
    <row r="186" ht="11.1" customHeight="1" spans="3:11">
      <c r="C186" s="49"/>
      <c r="D186" s="48"/>
      <c r="F186" s="38"/>
      <c r="G186" s="38"/>
      <c r="H186" s="38"/>
      <c r="I186" s="38"/>
      <c r="J186" s="38"/>
      <c r="K186" s="38"/>
    </row>
    <row r="187" ht="11.1" customHeight="1" spans="3:11">
      <c r="C187" s="49"/>
      <c r="D187" s="48"/>
      <c r="F187" s="38"/>
      <c r="G187" s="38"/>
      <c r="H187" s="38"/>
      <c r="I187" s="38"/>
      <c r="J187" s="38"/>
      <c r="K187" s="38"/>
    </row>
    <row r="188" ht="11.1" customHeight="1"/>
    <row r="189" ht="11.1" customHeight="1" spans="2:10">
      <c r="B189" s="50" t="s">
        <v>356</v>
      </c>
      <c r="C189" s="50"/>
      <c r="D189" s="51"/>
      <c r="E189" s="71" t="str">
        <f>C140</f>
        <v>MARZO 2026</v>
      </c>
      <c r="F189" s="51"/>
      <c r="G189" s="51"/>
      <c r="H189" s="51"/>
      <c r="I189" s="38"/>
      <c r="J189" s="38"/>
    </row>
    <row r="190" ht="11.1" customHeight="1" spans="2:10">
      <c r="B190" s="38"/>
      <c r="C190" s="38"/>
      <c r="D190" s="38"/>
      <c r="E190" s="38"/>
      <c r="F190" s="52"/>
      <c r="G190" s="52"/>
      <c r="H190" s="52"/>
      <c r="I190" s="52"/>
      <c r="J190" s="38"/>
    </row>
    <row r="191" ht="11.1" customHeight="1" spans="2:10">
      <c r="B191" s="38"/>
      <c r="C191" s="38"/>
      <c r="D191" s="38"/>
      <c r="E191" s="38"/>
      <c r="F191" s="38"/>
      <c r="G191" s="72" t="s">
        <v>357</v>
      </c>
      <c r="H191" s="72"/>
      <c r="I191" s="72"/>
      <c r="J191" s="38"/>
    </row>
    <row r="192" ht="11.1" customHeight="1" spans="2:10">
      <c r="B192" s="38"/>
      <c r="C192" s="38"/>
      <c r="D192" s="38"/>
      <c r="E192" s="38"/>
      <c r="F192" s="38"/>
      <c r="G192" s="73"/>
      <c r="H192" s="73"/>
      <c r="I192" s="51"/>
      <c r="J192" s="38"/>
    </row>
    <row r="193" ht="11.1" customHeight="1" spans="2:10">
      <c r="B193" s="38"/>
      <c r="C193" s="38"/>
      <c r="D193" s="52"/>
      <c r="E193" s="52"/>
      <c r="F193" s="74" t="s">
        <v>17</v>
      </c>
      <c r="G193" s="74"/>
      <c r="H193" s="74"/>
      <c r="I193" s="74"/>
      <c r="J193" s="74"/>
    </row>
    <row r="194" ht="11.1" customHeight="1" spans="2:10">
      <c r="B194" s="38"/>
      <c r="C194" s="38"/>
      <c r="D194" s="52"/>
      <c r="E194" s="52"/>
      <c r="F194" s="52"/>
      <c r="G194" s="72" t="s">
        <v>89</v>
      </c>
      <c r="H194" s="72"/>
      <c r="I194" s="72"/>
      <c r="J194" s="52"/>
    </row>
    <row r="195" ht="11.1" customHeight="1" spans="2:8">
      <c r="B195" s="38"/>
      <c r="C195" s="38"/>
      <c r="D195" s="53"/>
      <c r="E195" s="53"/>
      <c r="F195" s="53"/>
      <c r="G195" s="38"/>
      <c r="H195" s="38"/>
    </row>
    <row r="196" ht="11.1" customHeight="1" spans="2:8">
      <c r="B196" s="38"/>
      <c r="C196" s="38"/>
      <c r="D196" s="43"/>
      <c r="E196" s="43"/>
      <c r="F196" s="43"/>
      <c r="G196" s="38"/>
      <c r="H196" s="38"/>
    </row>
    <row r="197" ht="11.1" customHeight="1" spans="3:11">
      <c r="C197" s="73"/>
      <c r="D197" s="72" t="s">
        <v>358</v>
      </c>
      <c r="E197" s="72"/>
      <c r="F197" s="72"/>
      <c r="G197" s="73"/>
      <c r="H197" s="73"/>
      <c r="I197" s="72" t="s">
        <v>359</v>
      </c>
      <c r="J197" s="72"/>
      <c r="K197" s="72"/>
    </row>
    <row r="198" ht="11.1" customHeight="1" spans="3:11">
      <c r="C198" s="73"/>
      <c r="D198" s="90"/>
      <c r="E198" s="90"/>
      <c r="F198" s="90"/>
      <c r="G198" s="73"/>
      <c r="H198" s="73"/>
      <c r="I198" s="90"/>
      <c r="J198" s="90"/>
      <c r="K198" s="73"/>
    </row>
    <row r="199" ht="11.1" customHeight="1" spans="3:11">
      <c r="C199" s="72" t="s">
        <v>19</v>
      </c>
      <c r="D199" s="72"/>
      <c r="E199" s="72"/>
      <c r="F199" s="72"/>
      <c r="G199" s="72"/>
      <c r="H199" s="73"/>
      <c r="I199" s="74" t="s">
        <v>22</v>
      </c>
      <c r="J199" s="74"/>
      <c r="K199" s="74"/>
    </row>
    <row r="200" ht="11.1" customHeight="1" spans="3:11">
      <c r="C200" s="72" t="s">
        <v>360</v>
      </c>
      <c r="D200" s="72"/>
      <c r="E200" s="72"/>
      <c r="F200" s="72"/>
      <c r="G200" s="72"/>
      <c r="H200" s="73"/>
      <c r="I200" s="72" t="s">
        <v>90</v>
      </c>
      <c r="J200" s="72"/>
      <c r="K200" s="72"/>
    </row>
    <row r="201" ht="11.1" customHeight="1"/>
    <row r="202" ht="11.1" customHeight="1"/>
    <row r="203" ht="11.1" customHeight="1" spans="1:12">
      <c r="A203" s="91" t="s">
        <v>361</v>
      </c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</row>
    <row r="204" ht="11.1" customHeight="1" spans="6:6">
      <c r="F204" s="38" t="s">
        <v>307</v>
      </c>
    </row>
    <row r="205" ht="11.1" customHeight="1"/>
    <row r="206" ht="11.1" customHeight="1"/>
    <row r="207" ht="11.1" customHeight="1" spans="2:11">
      <c r="B207" s="38" t="s">
        <v>362</v>
      </c>
      <c r="C207" s="38"/>
      <c r="D207" s="38"/>
      <c r="E207" s="38"/>
      <c r="F207" s="38"/>
      <c r="G207" s="38"/>
      <c r="H207" s="38"/>
      <c r="I207" s="38"/>
      <c r="J207" s="38"/>
      <c r="K207" s="44"/>
    </row>
    <row r="208" ht="11.1" customHeight="1" spans="2:11">
      <c r="B208" s="38" t="s">
        <v>363</v>
      </c>
      <c r="C208" s="38"/>
      <c r="D208" s="38"/>
      <c r="E208" s="38"/>
      <c r="F208" s="38"/>
      <c r="G208" s="38"/>
      <c r="I208" s="138" t="s">
        <v>59</v>
      </c>
      <c r="J208" s="138" t="str">
        <f>E189</f>
        <v>MARZO 2026</v>
      </c>
      <c r="K208" s="138"/>
    </row>
    <row r="209" ht="11.1" customHeight="1" spans="2:10">
      <c r="B209" s="38"/>
      <c r="C209" s="38"/>
      <c r="D209" s="38"/>
      <c r="E209" s="38"/>
      <c r="F209" s="38"/>
      <c r="G209" s="38"/>
      <c r="H209" s="38"/>
      <c r="I209" s="38"/>
      <c r="J209" s="38"/>
    </row>
    <row r="210" ht="11.1" customHeight="1" spans="2:10">
      <c r="B210" s="38"/>
      <c r="C210" s="38"/>
      <c r="D210" s="92" t="s">
        <v>364</v>
      </c>
      <c r="E210" s="117"/>
      <c r="F210" s="118"/>
      <c r="G210" s="38"/>
      <c r="H210" s="38"/>
      <c r="I210" s="38"/>
      <c r="J210" s="38"/>
    </row>
    <row r="211" ht="11.1" customHeight="1" spans="2:10">
      <c r="B211" s="38"/>
      <c r="C211" s="38"/>
      <c r="D211" s="38"/>
      <c r="E211" s="38"/>
      <c r="F211" s="38"/>
      <c r="G211" s="38"/>
      <c r="H211" s="38"/>
      <c r="I211" s="38"/>
      <c r="J211" s="38"/>
    </row>
    <row r="212" ht="11.1" customHeight="1" spans="2:11">
      <c r="B212" s="38"/>
      <c r="C212" s="38"/>
      <c r="D212" s="38"/>
      <c r="E212" s="38"/>
      <c r="F212" s="38"/>
      <c r="G212" s="38"/>
      <c r="H212" s="38"/>
      <c r="I212" s="52"/>
      <c r="J212" s="52"/>
      <c r="K212" s="139"/>
    </row>
    <row r="213" ht="11.1" customHeight="1" spans="2:11">
      <c r="B213" s="38"/>
      <c r="C213" s="40" t="s">
        <v>365</v>
      </c>
      <c r="D213" s="38"/>
      <c r="F213" s="38"/>
      <c r="G213" s="38"/>
      <c r="I213" s="52"/>
      <c r="J213" s="52"/>
      <c r="K213" s="139"/>
    </row>
    <row r="214" ht="11.1" customHeight="1" spans="2:11">
      <c r="B214" s="93"/>
      <c r="C214" s="93"/>
      <c r="D214" s="93"/>
      <c r="E214" s="93"/>
      <c r="F214" s="93"/>
      <c r="G214" s="38"/>
      <c r="I214" s="52"/>
      <c r="J214" s="52"/>
      <c r="K214" s="139"/>
    </row>
    <row r="215" ht="11.1" customHeight="1" spans="1:11">
      <c r="A215" s="46">
        <v>1</v>
      </c>
      <c r="B215" s="46" t="s">
        <v>397</v>
      </c>
      <c r="C215" s="34"/>
      <c r="D215" s="34"/>
      <c r="E215" s="34"/>
      <c r="F215" s="93" t="s">
        <v>367</v>
      </c>
      <c r="G215" s="93"/>
      <c r="I215" s="52"/>
      <c r="J215" s="52"/>
      <c r="K215" s="139"/>
    </row>
    <row r="216" ht="11.1" customHeight="1" spans="1:11">
      <c r="A216" s="46">
        <v>2</v>
      </c>
      <c r="B216" s="46" t="s">
        <v>22</v>
      </c>
      <c r="C216" s="34"/>
      <c r="D216" s="34"/>
      <c r="E216" s="34"/>
      <c r="F216" s="38" t="s">
        <v>368</v>
      </c>
      <c r="G216" s="38"/>
      <c r="I216" s="52"/>
      <c r="J216" s="52"/>
      <c r="K216" s="139"/>
    </row>
    <row r="217" ht="11.1" customHeight="1" spans="1:11">
      <c r="A217" s="46">
        <v>3</v>
      </c>
      <c r="B217" s="46" t="s">
        <v>25</v>
      </c>
      <c r="C217" s="34"/>
      <c r="D217" s="34"/>
      <c r="E217" s="34"/>
      <c r="F217" s="38" t="s">
        <v>369</v>
      </c>
      <c r="G217" s="38"/>
      <c r="I217" s="52"/>
      <c r="J217" s="52"/>
      <c r="K217" s="139"/>
    </row>
    <row r="218" ht="11.1" customHeight="1" spans="1:11">
      <c r="A218" s="46">
        <v>4</v>
      </c>
      <c r="B218" s="46" t="s">
        <v>398</v>
      </c>
      <c r="C218" s="34"/>
      <c r="D218" s="34"/>
      <c r="E218" s="34"/>
      <c r="F218" s="46" t="s">
        <v>371</v>
      </c>
      <c r="I218" s="52"/>
      <c r="J218" s="52"/>
      <c r="K218" s="139"/>
    </row>
    <row r="219" ht="11.1" customHeight="1" spans="1:11">
      <c r="A219" s="46">
        <v>5</v>
      </c>
      <c r="B219" s="46" t="s">
        <v>17</v>
      </c>
      <c r="C219" s="34"/>
      <c r="D219" s="34"/>
      <c r="E219" s="34"/>
      <c r="F219" s="34" t="s">
        <v>372</v>
      </c>
      <c r="G219" s="38"/>
      <c r="I219" s="52"/>
      <c r="J219" s="52"/>
      <c r="K219" s="140" t="s">
        <v>21</v>
      </c>
    </row>
    <row r="220" ht="11.1" customHeight="1" spans="1:11">
      <c r="A220" s="46">
        <v>6</v>
      </c>
      <c r="B220" s="46" t="s">
        <v>26</v>
      </c>
      <c r="C220" s="34"/>
      <c r="D220" s="34"/>
      <c r="E220" s="34"/>
      <c r="F220" s="34" t="s">
        <v>374</v>
      </c>
      <c r="G220" s="38"/>
      <c r="I220" s="52"/>
      <c r="J220" s="52"/>
      <c r="K220" s="139"/>
    </row>
    <row r="221" ht="11.1" customHeight="1" spans="2:11">
      <c r="B221" s="94"/>
      <c r="C221" s="94"/>
      <c r="D221" s="94"/>
      <c r="E221" s="94"/>
      <c r="F221" s="94"/>
      <c r="G221" s="38"/>
      <c r="H221" s="46"/>
      <c r="I221" s="52"/>
      <c r="J221" s="52"/>
      <c r="K221" s="139"/>
    </row>
    <row r="222" ht="11.1" customHeight="1" spans="2:11">
      <c r="B222" s="44"/>
      <c r="C222" s="95" t="s">
        <v>375</v>
      </c>
      <c r="D222" s="44"/>
      <c r="E222" s="44"/>
      <c r="F222" s="44"/>
      <c r="G222" s="38"/>
      <c r="H222" s="38"/>
      <c r="I222" s="52"/>
      <c r="J222" s="52" t="s">
        <v>21</v>
      </c>
      <c r="K222" s="52" t="s">
        <v>21</v>
      </c>
    </row>
    <row r="223" ht="11.1" customHeight="1" spans="1:11">
      <c r="A223" s="46">
        <v>1</v>
      </c>
      <c r="B223" s="96" t="s">
        <v>27</v>
      </c>
      <c r="C223" s="44"/>
      <c r="D223" s="97"/>
      <c r="E223" s="44"/>
      <c r="F223" s="44"/>
      <c r="G223" s="38"/>
      <c r="H223" s="38"/>
      <c r="I223" s="52"/>
      <c r="J223" s="52" t="s">
        <v>21</v>
      </c>
      <c r="K223" s="52" t="s">
        <v>21</v>
      </c>
    </row>
    <row r="224" ht="11.1" customHeight="1" spans="1:11">
      <c r="A224" s="46">
        <v>2</v>
      </c>
      <c r="B224" s="96" t="s">
        <v>399</v>
      </c>
      <c r="C224" s="46"/>
      <c r="D224" s="98"/>
      <c r="E224" s="46"/>
      <c r="F224" s="46"/>
      <c r="G224" s="38"/>
      <c r="H224" s="38"/>
      <c r="I224" s="52"/>
      <c r="J224" s="52"/>
      <c r="K224" s="139"/>
    </row>
    <row r="225" ht="11.1" customHeight="1" spans="1:11">
      <c r="A225" s="46">
        <v>3</v>
      </c>
      <c r="B225" s="96" t="s">
        <v>29</v>
      </c>
      <c r="D225" s="98"/>
      <c r="E225" s="46"/>
      <c r="F225" s="46"/>
      <c r="G225" s="38"/>
      <c r="H225" s="38"/>
      <c r="I225" s="52"/>
      <c r="J225" s="52"/>
      <c r="K225" s="139"/>
    </row>
    <row r="226" ht="11.1" customHeight="1" spans="1:11">
      <c r="A226" s="46">
        <v>4</v>
      </c>
      <c r="B226" s="96" t="s">
        <v>30</v>
      </c>
      <c r="C226" s="46"/>
      <c r="D226" s="98"/>
      <c r="E226" s="46"/>
      <c r="F226" s="46"/>
      <c r="G226" s="38"/>
      <c r="H226" s="38"/>
      <c r="I226" s="52"/>
      <c r="J226" s="52"/>
      <c r="K226" s="139"/>
    </row>
    <row r="227" ht="11.1" customHeight="1" spans="1:11">
      <c r="A227" s="46">
        <v>5</v>
      </c>
      <c r="B227" s="96" t="s">
        <v>31</v>
      </c>
      <c r="C227" s="46"/>
      <c r="D227" s="98"/>
      <c r="E227" s="46"/>
      <c r="F227" s="46"/>
      <c r="G227" s="38"/>
      <c r="H227" s="38"/>
      <c r="I227" s="52"/>
      <c r="J227" s="52"/>
      <c r="K227" s="139"/>
    </row>
    <row r="228" ht="11.1" customHeight="1" spans="1:11">
      <c r="A228" s="46">
        <v>6</v>
      </c>
      <c r="B228" s="96" t="s">
        <v>32</v>
      </c>
      <c r="C228" s="46"/>
      <c r="D228" s="98"/>
      <c r="E228" s="46"/>
      <c r="F228" s="46"/>
      <c r="G228" s="38"/>
      <c r="H228" s="38"/>
      <c r="I228" s="52"/>
      <c r="J228" s="52"/>
      <c r="K228" s="139"/>
    </row>
    <row r="229" ht="11.1" customHeight="1" spans="2:11">
      <c r="B229" s="46"/>
      <c r="C229" s="46"/>
      <c r="D229" s="46"/>
      <c r="E229" s="46"/>
      <c r="F229" s="46"/>
      <c r="G229" s="38"/>
      <c r="H229" s="38"/>
      <c r="I229" s="52"/>
      <c r="J229" s="52"/>
      <c r="K229" s="139"/>
    </row>
    <row r="230" ht="11.1" customHeight="1" spans="2:11">
      <c r="B230" s="46"/>
      <c r="C230" s="95" t="s">
        <v>381</v>
      </c>
      <c r="D230" s="46"/>
      <c r="E230" s="46"/>
      <c r="F230" s="46"/>
      <c r="G230" s="38"/>
      <c r="H230" s="38"/>
      <c r="I230" s="52"/>
      <c r="J230" s="52"/>
      <c r="K230" s="139"/>
    </row>
    <row r="231" ht="11.1" customHeight="1" spans="1:11">
      <c r="A231" s="46">
        <v>1</v>
      </c>
      <c r="B231" s="46" t="s">
        <v>400</v>
      </c>
      <c r="C231" s="46"/>
      <c r="D231" s="46"/>
      <c r="E231" s="46"/>
      <c r="F231" s="46"/>
      <c r="G231" s="38" t="s">
        <v>21</v>
      </c>
      <c r="H231" s="38"/>
      <c r="I231" s="52"/>
      <c r="J231" s="52"/>
      <c r="K231" s="139"/>
    </row>
    <row r="232" ht="11.1" customHeight="1" spans="1:11">
      <c r="A232" s="46">
        <v>2</v>
      </c>
      <c r="B232" s="46" t="s">
        <v>34</v>
      </c>
      <c r="C232" s="46"/>
      <c r="D232" s="46"/>
      <c r="E232" s="46"/>
      <c r="F232" s="46"/>
      <c r="G232" s="38"/>
      <c r="H232" s="38"/>
      <c r="I232" s="52"/>
      <c r="J232" s="52"/>
      <c r="K232" s="139"/>
    </row>
    <row r="233" ht="11.1" customHeight="1" spans="1:11">
      <c r="A233" s="46">
        <v>3</v>
      </c>
      <c r="B233" s="46" t="s">
        <v>35</v>
      </c>
      <c r="C233" s="46"/>
      <c r="D233" s="46"/>
      <c r="E233" s="46"/>
      <c r="F233" s="46"/>
      <c r="G233" s="38"/>
      <c r="H233" s="38"/>
      <c r="I233" s="52"/>
      <c r="J233" s="52"/>
      <c r="K233" s="139"/>
    </row>
    <row r="234" ht="11.1" customHeight="1" spans="1:11">
      <c r="A234" s="46">
        <v>4</v>
      </c>
      <c r="B234" s="46" t="s">
        <v>36</v>
      </c>
      <c r="C234" s="46"/>
      <c r="D234" s="46"/>
      <c r="E234" s="46"/>
      <c r="F234" s="46"/>
      <c r="G234" s="38"/>
      <c r="H234" s="38"/>
      <c r="I234" s="52"/>
      <c r="J234" s="52"/>
      <c r="K234" s="139"/>
    </row>
    <row r="235" ht="11.1" customHeight="1" spans="1:11">
      <c r="A235" s="46">
        <v>5</v>
      </c>
      <c r="B235" s="46" t="s">
        <v>401</v>
      </c>
      <c r="C235" s="46"/>
      <c r="D235" s="46"/>
      <c r="F235" s="46"/>
      <c r="G235" s="38"/>
      <c r="H235" s="38"/>
      <c r="I235" s="52"/>
      <c r="J235" s="52"/>
      <c r="K235" s="139"/>
    </row>
    <row r="236" ht="11.1" customHeight="1" spans="1:11">
      <c r="A236" s="46">
        <v>6</v>
      </c>
      <c r="B236" s="46" t="s">
        <v>402</v>
      </c>
      <c r="C236" s="38"/>
      <c r="D236" s="38"/>
      <c r="E236" s="38"/>
      <c r="F236" s="38"/>
      <c r="G236" s="38"/>
      <c r="H236" s="38"/>
      <c r="I236" s="52"/>
      <c r="J236" s="52"/>
      <c r="K236" s="139"/>
    </row>
    <row r="237" ht="11.1" customHeight="1" spans="2:11">
      <c r="B237" s="99"/>
      <c r="C237" s="99"/>
      <c r="D237" s="99"/>
      <c r="F237" s="99"/>
      <c r="G237" s="52"/>
      <c r="H237" s="52"/>
      <c r="I237" s="52"/>
      <c r="J237" s="52"/>
      <c r="K237" s="139"/>
    </row>
    <row r="238" ht="11.1" customHeight="1" spans="2:11">
      <c r="B238" s="52"/>
      <c r="C238" s="52"/>
      <c r="D238" s="52"/>
      <c r="E238" s="52"/>
      <c r="F238" s="52"/>
      <c r="G238" s="52"/>
      <c r="H238" s="52"/>
      <c r="I238" s="52"/>
      <c r="J238" s="52"/>
      <c r="K238" s="139"/>
    </row>
    <row r="239" ht="11.1" customHeight="1" spans="2:11">
      <c r="B239" s="52"/>
      <c r="C239" s="52"/>
      <c r="D239" s="52"/>
      <c r="E239" s="119" t="s">
        <v>387</v>
      </c>
      <c r="F239" s="52"/>
      <c r="G239" s="52"/>
      <c r="H239" s="52"/>
      <c r="I239" s="52"/>
      <c r="J239" s="52"/>
      <c r="K239" s="139"/>
    </row>
    <row r="240" ht="11.1" customHeight="1" spans="2:11">
      <c r="B240" s="52"/>
      <c r="C240" s="52"/>
      <c r="D240" s="52"/>
      <c r="E240" s="52"/>
      <c r="F240" s="52"/>
      <c r="G240" s="52"/>
      <c r="H240" s="52"/>
      <c r="I240" s="52"/>
      <c r="J240" s="52"/>
      <c r="K240" s="139"/>
    </row>
    <row r="241" ht="11.1" customHeight="1" spans="2:11">
      <c r="B241" s="52"/>
      <c r="C241" s="52"/>
      <c r="D241" s="52"/>
      <c r="E241" s="52"/>
      <c r="F241" s="52"/>
      <c r="G241" s="52"/>
      <c r="H241" s="52"/>
      <c r="I241" s="52"/>
      <c r="J241" s="52"/>
      <c r="K241" s="139"/>
    </row>
    <row r="242" ht="11.1" customHeight="1" spans="2:10">
      <c r="B242" s="38"/>
      <c r="C242" s="38"/>
      <c r="D242" s="52"/>
      <c r="E242" s="52"/>
      <c r="F242" s="52"/>
      <c r="G242" s="52"/>
      <c r="H242" s="52"/>
      <c r="I242" s="52"/>
      <c r="J242" s="52"/>
    </row>
    <row r="243" ht="11.1" customHeight="1" spans="2:11">
      <c r="B243" s="100" t="s">
        <v>388</v>
      </c>
      <c r="C243" s="101"/>
      <c r="D243" s="101"/>
      <c r="E243" s="101"/>
      <c r="F243" s="101"/>
      <c r="G243" s="101"/>
      <c r="H243" s="101"/>
      <c r="I243" s="101"/>
      <c r="J243" s="101"/>
      <c r="K243" s="141"/>
    </row>
    <row r="244" ht="11.1" customHeight="1" spans="2:10">
      <c r="B244" s="38"/>
      <c r="C244" s="38"/>
      <c r="D244" s="52"/>
      <c r="E244" s="52"/>
      <c r="F244" s="52"/>
      <c r="G244" s="52"/>
      <c r="H244" s="52"/>
      <c r="I244" s="52"/>
      <c r="J244" s="52"/>
    </row>
    <row r="245" ht="11.1" customHeight="1" spans="2:12">
      <c r="B245" s="55" t="s">
        <v>389</v>
      </c>
      <c r="C245" s="102"/>
      <c r="D245" s="102"/>
      <c r="E245" s="120"/>
      <c r="F245" s="121" t="s">
        <v>390</v>
      </c>
      <c r="G245" s="102" t="s">
        <v>59</v>
      </c>
      <c r="H245" s="120"/>
      <c r="I245" s="142" t="s">
        <v>391</v>
      </c>
      <c r="J245" s="143" t="s">
        <v>392</v>
      </c>
      <c r="K245" s="144"/>
      <c r="L245" s="145"/>
    </row>
    <row r="246" ht="11.1" customHeight="1" spans="2:12">
      <c r="B246" s="159"/>
      <c r="C246" s="160"/>
      <c r="D246" s="160"/>
      <c r="E246" s="161"/>
      <c r="F246" s="123"/>
      <c r="G246" s="124"/>
      <c r="H246" s="125"/>
      <c r="I246" s="146"/>
      <c r="J246" s="147"/>
      <c r="K246" s="148"/>
      <c r="L246" s="139"/>
    </row>
    <row r="247" ht="11.1" customHeight="1" spans="2:11">
      <c r="B247" s="105"/>
      <c r="C247" s="106"/>
      <c r="D247" s="106"/>
      <c r="E247" s="126"/>
      <c r="F247" s="127"/>
      <c r="G247" s="128"/>
      <c r="H247" s="129"/>
      <c r="I247" s="146"/>
      <c r="J247" s="149"/>
      <c r="K247" s="150"/>
    </row>
    <row r="248" ht="11.1" customHeight="1" spans="2:11">
      <c r="B248" s="107"/>
      <c r="C248" s="108"/>
      <c r="D248" s="108"/>
      <c r="E248" s="130"/>
      <c r="F248" s="131"/>
      <c r="G248" s="132"/>
      <c r="H248" s="133"/>
      <c r="I248" s="151"/>
      <c r="J248" s="152"/>
      <c r="K248" s="153"/>
    </row>
    <row r="249" ht="11.1" customHeight="1" spans="2:11">
      <c r="B249" s="107"/>
      <c r="C249" s="108"/>
      <c r="D249" s="108"/>
      <c r="E249" s="130"/>
      <c r="F249" s="131"/>
      <c r="G249" s="132"/>
      <c r="H249" s="133"/>
      <c r="I249" s="151"/>
      <c r="J249" s="152"/>
      <c r="K249" s="153"/>
    </row>
    <row r="250" ht="11.1" customHeight="1" spans="2:11">
      <c r="B250" s="109"/>
      <c r="C250" s="110"/>
      <c r="D250" s="110"/>
      <c r="E250" s="134"/>
      <c r="F250" s="135"/>
      <c r="G250" s="136"/>
      <c r="H250" s="134"/>
      <c r="I250" s="154"/>
      <c r="J250" s="151"/>
      <c r="K250" s="155"/>
    </row>
    <row r="251" ht="11.1" customHeight="1" spans="2:11">
      <c r="B251" s="111"/>
      <c r="C251" s="112"/>
      <c r="D251" s="112"/>
      <c r="E251" s="49"/>
      <c r="F251" s="137"/>
      <c r="G251" s="137"/>
      <c r="H251" s="49"/>
      <c r="I251" s="112"/>
      <c r="J251" s="112"/>
      <c r="K251" s="156"/>
    </row>
    <row r="252" ht="11.1" customHeight="1" spans="2:11">
      <c r="B252" s="111"/>
      <c r="C252" s="112"/>
      <c r="D252" s="112"/>
      <c r="E252" s="49"/>
      <c r="F252" s="137"/>
      <c r="G252" s="137"/>
      <c r="H252" s="49"/>
      <c r="I252" s="112"/>
      <c r="J252" s="112"/>
      <c r="K252" s="156"/>
    </row>
    <row r="253" ht="11.1" customHeight="1" spans="2:11">
      <c r="B253" s="111"/>
      <c r="C253" s="112"/>
      <c r="D253" s="112"/>
      <c r="E253" s="49"/>
      <c r="F253" s="137"/>
      <c r="G253" s="137"/>
      <c r="H253" s="49"/>
      <c r="I253" s="112"/>
      <c r="J253" s="112"/>
      <c r="K253" s="156"/>
    </row>
    <row r="254" ht="11.1" customHeight="1" spans="2:11">
      <c r="B254" s="111"/>
      <c r="C254" s="112"/>
      <c r="D254" s="112"/>
      <c r="E254" s="49"/>
      <c r="F254" s="137"/>
      <c r="G254" s="137"/>
      <c r="H254" s="49"/>
      <c r="I254" s="112"/>
      <c r="J254" s="112"/>
      <c r="K254" s="156"/>
    </row>
    <row r="255" ht="11.1" customHeight="1" spans="2:11">
      <c r="B255" s="111"/>
      <c r="C255" s="112"/>
      <c r="D255" s="112"/>
      <c r="E255" s="49"/>
      <c r="F255" s="137"/>
      <c r="G255" s="137"/>
      <c r="H255" s="49"/>
      <c r="I255" s="112"/>
      <c r="J255" s="112"/>
      <c r="K255" s="156"/>
    </row>
    <row r="256" ht="11.1" customHeight="1" spans="2:11">
      <c r="B256" s="113"/>
      <c r="C256" s="114"/>
      <c r="D256" s="114"/>
      <c r="E256" s="114"/>
      <c r="F256" s="114"/>
      <c r="G256" s="114"/>
      <c r="H256" s="114"/>
      <c r="I256" s="114"/>
      <c r="J256" s="114"/>
      <c r="K256" s="157"/>
    </row>
    <row r="257" ht="11.1" customHeight="1" spans="2:11">
      <c r="B257" s="113"/>
      <c r="C257" s="114"/>
      <c r="D257" s="114"/>
      <c r="E257" s="114"/>
      <c r="F257" s="114"/>
      <c r="G257" s="114"/>
      <c r="H257" s="114"/>
      <c r="I257" s="114"/>
      <c r="J257" s="114"/>
      <c r="K257" s="157"/>
    </row>
    <row r="258" ht="11.1" customHeight="1" spans="2:11">
      <c r="B258" s="115"/>
      <c r="C258" s="116"/>
      <c r="D258" s="116"/>
      <c r="E258" s="116"/>
      <c r="F258" s="116"/>
      <c r="G258" s="116"/>
      <c r="H258" s="116"/>
      <c r="I258" s="116"/>
      <c r="J258" s="116"/>
      <c r="K258" s="158"/>
    </row>
    <row r="259" ht="11.1" customHeight="1" spans="2:11">
      <c r="B259" s="73"/>
      <c r="C259" s="114"/>
      <c r="D259" s="114"/>
      <c r="E259" s="114"/>
      <c r="F259" s="114"/>
      <c r="G259" s="114"/>
      <c r="H259" s="114"/>
      <c r="I259" s="114"/>
      <c r="J259" s="114"/>
      <c r="K259" s="114"/>
    </row>
    <row r="268" spans="3:10">
      <c r="C268" s="32" t="s">
        <v>44</v>
      </c>
      <c r="D268" s="33"/>
      <c r="E268" s="33"/>
      <c r="F268" s="33"/>
      <c r="G268" s="33"/>
      <c r="H268" s="33"/>
      <c r="I268" s="33"/>
      <c r="J268" s="33"/>
    </row>
    <row r="269" spans="1:12">
      <c r="A269" s="34" t="s">
        <v>306</v>
      </c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</row>
    <row r="270" spans="6:6">
      <c r="F270" s="38" t="s">
        <v>307</v>
      </c>
    </row>
    <row r="271" ht="11.1" customHeight="1"/>
    <row r="272" spans="2:4">
      <c r="B272" s="35" t="s">
        <v>308</v>
      </c>
      <c r="D272" s="35" t="s">
        <v>309</v>
      </c>
    </row>
    <row r="273" ht="11.1" customHeight="1" spans="2:5">
      <c r="B273" s="36" t="s">
        <v>310</v>
      </c>
      <c r="C273" s="162" t="s">
        <v>304</v>
      </c>
      <c r="D273" s="162"/>
      <c r="E273" s="162"/>
    </row>
    <row r="274" ht="11.1" customHeight="1" spans="2:10">
      <c r="B274" s="38" t="s">
        <v>311</v>
      </c>
      <c r="J274" s="75" t="s">
        <v>312</v>
      </c>
    </row>
    <row r="275" ht="11.1" customHeight="1" spans="2:10">
      <c r="B275" s="39" t="s">
        <v>53</v>
      </c>
      <c r="F275" s="40"/>
      <c r="G275" s="40"/>
      <c r="H275" s="40"/>
      <c r="I275" s="76" t="s">
        <v>313</v>
      </c>
      <c r="J275" s="77"/>
    </row>
    <row r="276" ht="11.1" customHeight="1" spans="2:10">
      <c r="B276" s="39"/>
      <c r="F276" s="54" t="s">
        <v>314</v>
      </c>
      <c r="G276" s="54" t="s">
        <v>315</v>
      </c>
      <c r="H276" s="55" t="s">
        <v>316</v>
      </c>
      <c r="I276" s="78"/>
      <c r="J276" s="79"/>
    </row>
    <row r="277" ht="11.1" customHeight="1"/>
    <row r="278" ht="11.1" customHeight="1" spans="2:10">
      <c r="B278" s="38" t="s">
        <v>317</v>
      </c>
      <c r="F278" s="56">
        <v>1</v>
      </c>
      <c r="G278" s="56">
        <v>15</v>
      </c>
      <c r="H278" s="57">
        <v>120</v>
      </c>
      <c r="I278" s="80">
        <f>F278*G278*H278</f>
        <v>1800</v>
      </c>
      <c r="J278" s="56"/>
    </row>
    <row r="279" ht="11.1" customHeight="1" spans="2:10">
      <c r="B279" s="40" t="s">
        <v>318</v>
      </c>
      <c r="F279" s="58"/>
      <c r="G279" s="58"/>
      <c r="H279" s="58" t="s">
        <v>21</v>
      </c>
      <c r="I279" s="58" t="s">
        <v>21</v>
      </c>
      <c r="J279" s="58"/>
    </row>
    <row r="280" ht="11.1" customHeight="1" spans="2:10">
      <c r="B280" s="38" t="s">
        <v>319</v>
      </c>
      <c r="F280" s="59" t="s">
        <v>21</v>
      </c>
      <c r="G280" s="60">
        <v>0</v>
      </c>
      <c r="H280" s="61">
        <v>250</v>
      </c>
      <c r="I280" s="81">
        <f t="shared" ref="I280:I284" si="4">G280*H280</f>
        <v>0</v>
      </c>
      <c r="J280" s="59"/>
    </row>
    <row r="281" ht="11.1" customHeight="1" spans="2:10">
      <c r="B281" s="38" t="s">
        <v>320</v>
      </c>
      <c r="F281" s="59"/>
      <c r="G281" s="60">
        <v>0</v>
      </c>
      <c r="H281" s="61">
        <v>250</v>
      </c>
      <c r="I281" s="81">
        <f t="shared" si="4"/>
        <v>0</v>
      </c>
      <c r="J281" s="59"/>
    </row>
    <row r="282" ht="11.1" customHeight="1" spans="2:10">
      <c r="B282" s="38" t="s">
        <v>321</v>
      </c>
      <c r="F282" s="59"/>
      <c r="G282" s="60">
        <v>0</v>
      </c>
      <c r="H282" s="61">
        <v>250</v>
      </c>
      <c r="I282" s="61">
        <f t="shared" si="4"/>
        <v>0</v>
      </c>
      <c r="J282" s="59"/>
    </row>
    <row r="283" ht="11.1" customHeight="1" spans="2:10">
      <c r="B283" s="38" t="s">
        <v>322</v>
      </c>
      <c r="F283" s="59"/>
      <c r="G283" s="60">
        <v>0</v>
      </c>
      <c r="H283" s="61">
        <v>250</v>
      </c>
      <c r="I283" s="81">
        <f t="shared" si="4"/>
        <v>0</v>
      </c>
      <c r="J283" s="59"/>
    </row>
    <row r="284" ht="11.1" customHeight="1" spans="2:10">
      <c r="B284" s="38" t="s">
        <v>323</v>
      </c>
      <c r="F284" s="59"/>
      <c r="G284" s="60">
        <v>0</v>
      </c>
      <c r="H284" s="61">
        <v>250</v>
      </c>
      <c r="I284" s="61">
        <f t="shared" si="4"/>
        <v>0</v>
      </c>
      <c r="J284" s="59"/>
    </row>
    <row r="285" ht="11.1" customHeight="1" spans="2:10">
      <c r="B285" s="38"/>
      <c r="F285" s="59"/>
      <c r="G285" s="60"/>
      <c r="H285" s="60"/>
      <c r="I285" s="60"/>
      <c r="J285" s="59"/>
    </row>
    <row r="286" ht="11.1" customHeight="1" spans="2:10">
      <c r="B286" s="40" t="s">
        <v>324</v>
      </c>
      <c r="C286" s="41"/>
      <c r="F286" s="59"/>
      <c r="G286" s="60"/>
      <c r="H286" s="62"/>
      <c r="I286" s="82"/>
      <c r="J286" s="59"/>
    </row>
    <row r="287" ht="11.1" customHeight="1" spans="2:10">
      <c r="B287" s="38"/>
      <c r="F287" s="59"/>
      <c r="G287" s="60"/>
      <c r="H287" s="60"/>
      <c r="I287" s="60"/>
      <c r="J287" s="59"/>
    </row>
    <row r="288" ht="11.1" customHeight="1" spans="2:10">
      <c r="B288" s="38" t="s">
        <v>325</v>
      </c>
      <c r="F288" s="59">
        <f>F278</f>
        <v>1</v>
      </c>
      <c r="G288" s="60">
        <f>G278</f>
        <v>15</v>
      </c>
      <c r="H288" s="63">
        <v>18</v>
      </c>
      <c r="I288" s="83">
        <f>F288*G288*H288</f>
        <v>270</v>
      </c>
      <c r="J288" s="59"/>
    </row>
    <row r="289" ht="11.1" customHeight="1" spans="2:10">
      <c r="B289" s="38" t="s">
        <v>326</v>
      </c>
      <c r="F289" s="59">
        <v>1</v>
      </c>
      <c r="G289" s="407" t="s">
        <v>327</v>
      </c>
      <c r="H289" s="64">
        <v>150</v>
      </c>
      <c r="I289" s="83">
        <f t="shared" ref="I289:I291" si="5">F289*H289</f>
        <v>150</v>
      </c>
      <c r="J289" s="59"/>
    </row>
    <row r="290" ht="11.1" customHeight="1" spans="2:10">
      <c r="B290" s="38" t="s">
        <v>328</v>
      </c>
      <c r="F290" s="59">
        <v>1</v>
      </c>
      <c r="G290" s="407" t="s">
        <v>327</v>
      </c>
      <c r="H290" s="64">
        <v>70</v>
      </c>
      <c r="I290" s="83">
        <f t="shared" si="5"/>
        <v>70</v>
      </c>
      <c r="J290" s="59"/>
    </row>
    <row r="291" ht="11.1" customHeight="1" spans="2:10">
      <c r="B291" s="38" t="s">
        <v>329</v>
      </c>
      <c r="F291" s="59">
        <f>F278</f>
        <v>1</v>
      </c>
      <c r="G291" s="407" t="s">
        <v>327</v>
      </c>
      <c r="H291" s="64">
        <v>800</v>
      </c>
      <c r="I291" s="83">
        <f t="shared" si="5"/>
        <v>800</v>
      </c>
      <c r="J291" s="59"/>
    </row>
    <row r="292" ht="11.1" customHeight="1" spans="2:10">
      <c r="B292" s="38"/>
      <c r="F292" s="59"/>
      <c r="G292" s="59"/>
      <c r="H292" s="65"/>
      <c r="I292" s="65"/>
      <c r="J292" s="59"/>
    </row>
    <row r="293" ht="11.1" customHeight="1" spans="2:10">
      <c r="B293" s="38" t="s">
        <v>330</v>
      </c>
      <c r="F293" s="59">
        <v>0</v>
      </c>
      <c r="G293" s="408" t="s">
        <v>327</v>
      </c>
      <c r="H293" s="65">
        <v>500</v>
      </c>
      <c r="I293" s="83">
        <f>F293*H293</f>
        <v>0</v>
      </c>
      <c r="J293" s="59"/>
    </row>
    <row r="294" ht="11.1" customHeight="1" spans="2:10">
      <c r="B294" s="38"/>
      <c r="F294" s="59"/>
      <c r="G294" s="59"/>
      <c r="H294" s="65"/>
      <c r="I294" s="65"/>
      <c r="J294" s="59"/>
    </row>
    <row r="295" ht="11.1" customHeight="1" spans="2:10">
      <c r="B295" s="40" t="s">
        <v>331</v>
      </c>
      <c r="F295" s="59"/>
      <c r="G295" s="59"/>
      <c r="H295" s="65"/>
      <c r="I295" s="65"/>
      <c r="J295" s="59"/>
    </row>
    <row r="296" ht="11.1" customHeight="1" spans="2:10">
      <c r="B296" s="38"/>
      <c r="F296" s="59"/>
      <c r="G296" s="59"/>
      <c r="H296" s="65"/>
      <c r="I296" s="65"/>
      <c r="J296" s="59"/>
    </row>
    <row r="297" ht="11.1" customHeight="1" spans="2:10">
      <c r="B297" s="38" t="s">
        <v>332</v>
      </c>
      <c r="F297" s="59"/>
      <c r="G297" s="59">
        <v>0</v>
      </c>
      <c r="H297" s="66">
        <v>150</v>
      </c>
      <c r="I297" s="65"/>
      <c r="J297" s="84">
        <f>G297*H297</f>
        <v>0</v>
      </c>
    </row>
    <row r="298" ht="11.1" customHeight="1" spans="2:10">
      <c r="B298" s="38" t="s">
        <v>333</v>
      </c>
      <c r="F298" s="59">
        <v>1</v>
      </c>
      <c r="G298" s="59">
        <f>G278</f>
        <v>15</v>
      </c>
      <c r="H298" s="66">
        <v>10</v>
      </c>
      <c r="I298" s="65"/>
      <c r="J298" s="84">
        <f>F298*G298*H298</f>
        <v>150</v>
      </c>
    </row>
    <row r="299" ht="11.1" customHeight="1" spans="2:10">
      <c r="B299" s="38" t="s">
        <v>334</v>
      </c>
      <c r="C299" s="42"/>
      <c r="D299" s="43" t="s">
        <v>335</v>
      </c>
      <c r="E299" s="67" t="s">
        <v>21</v>
      </c>
      <c r="F299" s="68">
        <v>0</v>
      </c>
      <c r="G299" s="68">
        <f>G278</f>
        <v>15</v>
      </c>
      <c r="H299" s="69">
        <v>50</v>
      </c>
      <c r="I299" s="85"/>
      <c r="J299" s="86">
        <f>F299*G299*H299</f>
        <v>0</v>
      </c>
    </row>
    <row r="300" ht="11.1" customHeight="1" spans="6:10">
      <c r="F300" s="53"/>
      <c r="G300" s="53"/>
      <c r="H300" s="70" t="s">
        <v>336</v>
      </c>
      <c r="I300" s="87">
        <f>SUM(I278:I299)</f>
        <v>3090</v>
      </c>
      <c r="J300" s="87">
        <f>SUM(J278:J299)</f>
        <v>150</v>
      </c>
    </row>
    <row r="301" ht="11.1" customHeight="1" spans="8:10">
      <c r="H301" s="70" t="s">
        <v>58</v>
      </c>
      <c r="I301" s="88">
        <f>I300+J300</f>
        <v>3240</v>
      </c>
      <c r="J301" s="89"/>
    </row>
    <row r="302" ht="11.1" customHeight="1"/>
    <row r="303" ht="11.1" customHeight="1" spans="3:10">
      <c r="C303" s="40" t="s">
        <v>285</v>
      </c>
      <c r="E303" s="44"/>
      <c r="G303" s="40" t="s">
        <v>337</v>
      </c>
      <c r="H303" s="38"/>
      <c r="I303" s="38"/>
      <c r="J303" s="40" t="s">
        <v>338</v>
      </c>
    </row>
    <row r="304" ht="11.1" customHeight="1" spans="3:5">
      <c r="C304" s="44"/>
      <c r="D304" s="44"/>
      <c r="E304" s="44"/>
    </row>
    <row r="305" ht="11.1" customHeight="1" spans="3:11">
      <c r="C305" s="45">
        <v>6</v>
      </c>
      <c r="D305" s="38" t="s">
        <v>339</v>
      </c>
      <c r="E305" s="38"/>
      <c r="F305" s="38"/>
      <c r="G305" s="45">
        <v>0</v>
      </c>
      <c r="H305" s="38" t="s">
        <v>340</v>
      </c>
      <c r="I305" s="38"/>
      <c r="J305" s="45">
        <v>0</v>
      </c>
      <c r="K305" s="38" t="s">
        <v>341</v>
      </c>
    </row>
    <row r="306" ht="11.1" customHeight="1" spans="3:11">
      <c r="C306" s="45">
        <v>6</v>
      </c>
      <c r="D306" s="38" t="s">
        <v>342</v>
      </c>
      <c r="E306" s="38"/>
      <c r="F306" s="38"/>
      <c r="G306" s="45">
        <v>0</v>
      </c>
      <c r="H306" s="38" t="s">
        <v>343</v>
      </c>
      <c r="I306" s="38"/>
      <c r="J306" s="45">
        <v>0</v>
      </c>
      <c r="K306" s="38" t="s">
        <v>344</v>
      </c>
    </row>
    <row r="307" ht="11.1" customHeight="1" spans="3:11">
      <c r="C307" s="45">
        <v>3</v>
      </c>
      <c r="D307" s="38" t="s">
        <v>345</v>
      </c>
      <c r="E307" s="38"/>
      <c r="F307" s="38"/>
      <c r="G307" s="45">
        <v>0</v>
      </c>
      <c r="H307" s="38" t="s">
        <v>346</v>
      </c>
      <c r="I307" s="38"/>
      <c r="J307" s="45">
        <f>J305+J306</f>
        <v>0</v>
      </c>
      <c r="K307" s="38" t="s">
        <v>58</v>
      </c>
    </row>
    <row r="308" ht="11.1" customHeight="1" spans="3:11">
      <c r="C308" s="45">
        <f>C305+C306+C307</f>
        <v>15</v>
      </c>
      <c r="D308" s="38" t="s">
        <v>58</v>
      </c>
      <c r="E308" s="38"/>
      <c r="F308" s="38"/>
      <c r="G308" s="45">
        <f>G305+G306+G307</f>
        <v>0</v>
      </c>
      <c r="H308" s="38" t="s">
        <v>58</v>
      </c>
      <c r="I308" s="38"/>
      <c r="J308" s="53"/>
      <c r="K308" s="38"/>
    </row>
    <row r="309" ht="11.1" customHeight="1" spans="3:11">
      <c r="C309" s="38"/>
      <c r="D309" s="38"/>
      <c r="E309" s="38"/>
      <c r="F309" s="38"/>
      <c r="G309" s="38"/>
      <c r="H309" s="38"/>
      <c r="I309" s="38"/>
      <c r="J309" s="38"/>
      <c r="K309" s="38"/>
    </row>
    <row r="310" ht="11.1" customHeight="1" spans="3:11">
      <c r="C310" s="40" t="s">
        <v>347</v>
      </c>
      <c r="D310" s="38"/>
      <c r="F310" s="38"/>
      <c r="G310" s="38"/>
      <c r="H310" s="38"/>
      <c r="J310" s="40" t="s">
        <v>82</v>
      </c>
      <c r="K310" s="38"/>
    </row>
    <row r="311" ht="11.1" customHeight="1" spans="3:11">
      <c r="C311" s="45">
        <v>0</v>
      </c>
      <c r="D311" s="46" t="s">
        <v>348</v>
      </c>
      <c r="F311" s="38"/>
      <c r="G311" s="38"/>
      <c r="H311" s="38"/>
      <c r="J311" s="45">
        <v>0</v>
      </c>
      <c r="K311" s="38" t="s">
        <v>349</v>
      </c>
    </row>
    <row r="312" ht="11.1" customHeight="1" spans="3:11">
      <c r="C312" s="45">
        <v>0</v>
      </c>
      <c r="D312" s="38" t="s">
        <v>350</v>
      </c>
      <c r="F312" s="38"/>
      <c r="G312" s="38"/>
      <c r="H312" s="38"/>
      <c r="J312" s="45">
        <v>2</v>
      </c>
      <c r="K312" s="38" t="s">
        <v>351</v>
      </c>
    </row>
    <row r="313" ht="11.1" customHeight="1" spans="3:11">
      <c r="C313" s="45">
        <f>C311+C312</f>
        <v>0</v>
      </c>
      <c r="D313" s="38" t="s">
        <v>58</v>
      </c>
      <c r="F313" s="38"/>
      <c r="G313" s="38"/>
      <c r="H313" s="38"/>
      <c r="J313" s="45">
        <f>J311+J312</f>
        <v>2</v>
      </c>
      <c r="K313" s="38" t="s">
        <v>58</v>
      </c>
    </row>
    <row r="314" ht="11.1" customHeight="1" spans="3:11">
      <c r="C314" s="38"/>
      <c r="D314" s="38"/>
      <c r="E314" s="38"/>
      <c r="F314" s="38"/>
      <c r="G314" s="38"/>
      <c r="H314" s="38"/>
      <c r="I314" s="38"/>
      <c r="J314" s="38"/>
      <c r="K314" s="38"/>
    </row>
    <row r="315" ht="11.1" customHeight="1" spans="3:11">
      <c r="C315" s="40" t="s">
        <v>352</v>
      </c>
      <c r="D315" s="38"/>
      <c r="F315" s="38"/>
      <c r="G315" s="38"/>
      <c r="H315" s="38"/>
      <c r="I315" s="38"/>
      <c r="J315" s="38"/>
      <c r="K315" s="38"/>
    </row>
    <row r="316" ht="11.1" customHeight="1" spans="3:11">
      <c r="C316" s="47">
        <v>15</v>
      </c>
      <c r="D316" s="38" t="s">
        <v>353</v>
      </c>
      <c r="F316" s="38"/>
      <c r="G316" s="38"/>
      <c r="H316" s="38"/>
      <c r="I316" s="38"/>
      <c r="J316" s="38"/>
      <c r="K316" s="38"/>
    </row>
    <row r="317" ht="11.1" customHeight="1" spans="3:11">
      <c r="C317" s="47">
        <v>15</v>
      </c>
      <c r="D317" s="38" t="s">
        <v>354</v>
      </c>
      <c r="F317" s="38"/>
      <c r="G317" s="38"/>
      <c r="H317" s="38"/>
      <c r="I317" s="38"/>
      <c r="J317" s="38"/>
      <c r="K317" s="38"/>
    </row>
    <row r="318" ht="11.1" customHeight="1" spans="3:11">
      <c r="C318" s="47">
        <v>0</v>
      </c>
      <c r="D318" s="48" t="s">
        <v>355</v>
      </c>
      <c r="F318" s="38"/>
      <c r="G318" s="38"/>
      <c r="H318" s="38"/>
      <c r="I318" s="38"/>
      <c r="J318" s="38"/>
      <c r="K318" s="38"/>
    </row>
    <row r="319" ht="11.1" customHeight="1" spans="3:11">
      <c r="C319" s="49"/>
      <c r="D319" s="48"/>
      <c r="F319" s="38"/>
      <c r="G319" s="38"/>
      <c r="H319" s="38"/>
      <c r="I319" s="38"/>
      <c r="J319" s="38"/>
      <c r="K319" s="38"/>
    </row>
    <row r="320" ht="11.1" customHeight="1" spans="3:11">
      <c r="C320" s="49"/>
      <c r="D320" s="48"/>
      <c r="F320" s="38"/>
      <c r="G320" s="38"/>
      <c r="H320" s="38"/>
      <c r="I320" s="38"/>
      <c r="J320" s="38"/>
      <c r="K320" s="38"/>
    </row>
    <row r="321" ht="11.1" customHeight="1"/>
    <row r="322" ht="11.1" customHeight="1" spans="2:10">
      <c r="B322" s="50" t="s">
        <v>356</v>
      </c>
      <c r="C322" s="50"/>
      <c r="D322" s="51"/>
      <c r="E322" s="71" t="str">
        <f>C273</f>
        <v>JUNIO 2026</v>
      </c>
      <c r="F322" s="51"/>
      <c r="G322" s="51"/>
      <c r="H322" s="51"/>
      <c r="I322" s="38"/>
      <c r="J322" s="38"/>
    </row>
    <row r="323" ht="11.1" customHeight="1" spans="2:10">
      <c r="B323" s="38"/>
      <c r="C323" s="38"/>
      <c r="D323" s="38"/>
      <c r="E323" s="38"/>
      <c r="F323" s="52"/>
      <c r="G323" s="52"/>
      <c r="H323" s="52"/>
      <c r="I323" s="52"/>
      <c r="J323" s="38"/>
    </row>
    <row r="324" ht="11.1" customHeight="1" spans="2:10">
      <c r="B324" s="38"/>
      <c r="C324" s="38"/>
      <c r="D324" s="38"/>
      <c r="E324" s="38"/>
      <c r="F324" s="38"/>
      <c r="G324" s="72" t="s">
        <v>357</v>
      </c>
      <c r="H324" s="72"/>
      <c r="I324" s="72"/>
      <c r="J324" s="38"/>
    </row>
    <row r="325" ht="11.1" customHeight="1" spans="2:10">
      <c r="B325" s="38"/>
      <c r="C325" s="38"/>
      <c r="D325" s="38"/>
      <c r="E325" s="38"/>
      <c r="F325" s="38"/>
      <c r="G325" s="73"/>
      <c r="H325" s="73"/>
      <c r="I325" s="51"/>
      <c r="J325" s="38"/>
    </row>
    <row r="326" ht="11.1" customHeight="1" spans="2:10">
      <c r="B326" s="38"/>
      <c r="C326" s="38"/>
      <c r="D326" s="52"/>
      <c r="E326" s="52"/>
      <c r="F326" s="74" t="s">
        <v>17</v>
      </c>
      <c r="G326" s="74"/>
      <c r="H326" s="74"/>
      <c r="I326" s="74"/>
      <c r="J326" s="74"/>
    </row>
    <row r="327" ht="11.1" customHeight="1" spans="2:10">
      <c r="B327" s="38"/>
      <c r="C327" s="38"/>
      <c r="D327" s="52"/>
      <c r="E327" s="52"/>
      <c r="F327" s="52"/>
      <c r="G327" s="72" t="s">
        <v>89</v>
      </c>
      <c r="H327" s="72"/>
      <c r="I327" s="72"/>
      <c r="J327" s="52"/>
    </row>
    <row r="328" ht="11.1" customHeight="1" spans="2:8">
      <c r="B328" s="38"/>
      <c r="C328" s="38"/>
      <c r="D328" s="43"/>
      <c r="E328" s="43"/>
      <c r="F328" s="43"/>
      <c r="G328" s="38"/>
      <c r="H328" s="38"/>
    </row>
    <row r="329" ht="11.1" customHeight="1" spans="3:11">
      <c r="C329" s="73"/>
      <c r="D329" s="72" t="s">
        <v>358</v>
      </c>
      <c r="E329" s="72"/>
      <c r="F329" s="72"/>
      <c r="G329" s="73"/>
      <c r="H329" s="73"/>
      <c r="I329" s="72" t="s">
        <v>359</v>
      </c>
      <c r="J329" s="72"/>
      <c r="K329" s="72"/>
    </row>
    <row r="330" ht="11.1" customHeight="1" spans="3:11">
      <c r="C330" s="73"/>
      <c r="D330" s="90"/>
      <c r="E330" s="90"/>
      <c r="F330" s="90"/>
      <c r="G330" s="73"/>
      <c r="H330" s="73"/>
      <c r="I330" s="90"/>
      <c r="J330" s="90"/>
      <c r="K330" s="73"/>
    </row>
    <row r="331" ht="11.1" customHeight="1" spans="3:11">
      <c r="C331" s="72" t="s">
        <v>19</v>
      </c>
      <c r="D331" s="72"/>
      <c r="E331" s="72"/>
      <c r="F331" s="72"/>
      <c r="G331" s="72"/>
      <c r="H331" s="73"/>
      <c r="I331" s="74" t="s">
        <v>22</v>
      </c>
      <c r="J331" s="74"/>
      <c r="K331" s="74"/>
    </row>
    <row r="332" ht="11.1" customHeight="1" spans="3:11">
      <c r="C332" s="72" t="s">
        <v>360</v>
      </c>
      <c r="D332" s="72"/>
      <c r="E332" s="72"/>
      <c r="F332" s="72"/>
      <c r="G332" s="72"/>
      <c r="H332" s="73"/>
      <c r="I332" s="72" t="s">
        <v>90</v>
      </c>
      <c r="J332" s="72"/>
      <c r="K332" s="72"/>
    </row>
    <row r="333" ht="11.1" customHeight="1"/>
    <row r="334" ht="11.1" customHeight="1"/>
    <row r="335" ht="11.1" customHeight="1" spans="1:12">
      <c r="A335" s="91" t="s">
        <v>361</v>
      </c>
      <c r="B335" s="91"/>
      <c r="C335" s="91"/>
      <c r="D335" s="91"/>
      <c r="E335" s="91"/>
      <c r="F335" s="91"/>
      <c r="G335" s="91"/>
      <c r="H335" s="91"/>
      <c r="I335" s="91"/>
      <c r="J335" s="91"/>
      <c r="K335" s="91"/>
      <c r="L335" s="91"/>
    </row>
    <row r="336" ht="11.1" customHeight="1" spans="6:6">
      <c r="F336" s="38" t="s">
        <v>307</v>
      </c>
    </row>
    <row r="337" ht="11.1" customHeight="1"/>
    <row r="338" ht="11.1" customHeight="1"/>
    <row r="339" ht="11.1" customHeight="1" spans="2:11">
      <c r="B339" s="38" t="s">
        <v>362</v>
      </c>
      <c r="C339" s="38"/>
      <c r="D339" s="38"/>
      <c r="E339" s="38"/>
      <c r="F339" s="38"/>
      <c r="G339" s="38"/>
      <c r="H339" s="38"/>
      <c r="I339" s="38"/>
      <c r="J339" s="38"/>
      <c r="K339" s="44"/>
    </row>
    <row r="340" ht="11.1" customHeight="1" spans="2:11">
      <c r="B340" s="38" t="s">
        <v>363</v>
      </c>
      <c r="C340" s="38"/>
      <c r="D340" s="38"/>
      <c r="E340" s="38"/>
      <c r="F340" s="38"/>
      <c r="G340" s="38"/>
      <c r="I340" s="138" t="s">
        <v>59</v>
      </c>
      <c r="J340" s="138" t="str">
        <f>E322</f>
        <v>JUNIO 2026</v>
      </c>
      <c r="K340" s="138"/>
    </row>
    <row r="341" ht="11.1" customHeight="1" spans="2:10">
      <c r="B341" s="38"/>
      <c r="C341" s="38"/>
      <c r="D341" s="38"/>
      <c r="E341" s="38"/>
      <c r="F341" s="38"/>
      <c r="G341" s="38"/>
      <c r="H341" s="38"/>
      <c r="I341" s="38"/>
      <c r="J341" s="38"/>
    </row>
    <row r="342" ht="11.1" customHeight="1" spans="2:10">
      <c r="B342" s="38"/>
      <c r="C342" s="38"/>
      <c r="D342" s="92" t="s">
        <v>364</v>
      </c>
      <c r="E342" s="117"/>
      <c r="F342" s="118"/>
      <c r="G342" s="38"/>
      <c r="H342" s="38"/>
      <c r="I342" s="38"/>
      <c r="J342" s="38"/>
    </row>
    <row r="343" ht="11.1" customHeight="1" spans="2:10">
      <c r="B343" s="38"/>
      <c r="C343" s="38"/>
      <c r="D343" s="38"/>
      <c r="E343" s="38"/>
      <c r="F343" s="38"/>
      <c r="G343" s="38"/>
      <c r="H343" s="38"/>
      <c r="I343" s="38"/>
      <c r="J343" s="38"/>
    </row>
    <row r="344" ht="11.1" customHeight="1" spans="2:11">
      <c r="B344" s="38"/>
      <c r="C344" s="38"/>
      <c r="D344" s="38"/>
      <c r="E344" s="38"/>
      <c r="F344" s="38"/>
      <c r="G344" s="38"/>
      <c r="H344" s="38"/>
      <c r="I344" s="52"/>
      <c r="J344" s="52"/>
      <c r="K344" s="139"/>
    </row>
    <row r="345" ht="11.1" customHeight="1" spans="2:11">
      <c r="B345" s="38"/>
      <c r="C345" s="40" t="s">
        <v>365</v>
      </c>
      <c r="D345" s="38"/>
      <c r="F345" s="38"/>
      <c r="G345" s="38"/>
      <c r="I345" s="52"/>
      <c r="J345" s="52"/>
      <c r="K345" s="139"/>
    </row>
    <row r="346" ht="11.1" customHeight="1" spans="2:11">
      <c r="B346" s="93"/>
      <c r="C346" s="93"/>
      <c r="D346" s="93"/>
      <c r="E346" s="93"/>
      <c r="F346" s="93"/>
      <c r="G346" s="38"/>
      <c r="I346" s="52"/>
      <c r="J346" s="52"/>
      <c r="K346" s="139"/>
    </row>
    <row r="347" ht="11.1" customHeight="1" spans="1:11">
      <c r="A347" s="46">
        <v>1</v>
      </c>
      <c r="B347" s="46" t="s">
        <v>397</v>
      </c>
      <c r="C347" s="34"/>
      <c r="D347" s="34"/>
      <c r="E347" s="34"/>
      <c r="F347" s="93" t="s">
        <v>367</v>
      </c>
      <c r="G347" s="93"/>
      <c r="I347" s="52"/>
      <c r="J347" s="52"/>
      <c r="K347" s="139"/>
    </row>
    <row r="348" ht="11.1" customHeight="1" spans="1:11">
      <c r="A348" s="46">
        <v>2</v>
      </c>
      <c r="B348" s="46" t="s">
        <v>22</v>
      </c>
      <c r="C348" s="34"/>
      <c r="D348" s="34"/>
      <c r="E348" s="34"/>
      <c r="F348" s="38" t="s">
        <v>368</v>
      </c>
      <c r="G348" s="38"/>
      <c r="I348" s="52"/>
      <c r="J348" s="52"/>
      <c r="K348" s="139"/>
    </row>
    <row r="349" ht="11.1" customHeight="1" spans="1:11">
      <c r="A349" s="46">
        <v>3</v>
      </c>
      <c r="B349" s="46" t="s">
        <v>25</v>
      </c>
      <c r="C349" s="34"/>
      <c r="D349" s="34"/>
      <c r="E349" s="34"/>
      <c r="F349" s="38" t="s">
        <v>369</v>
      </c>
      <c r="G349" s="38"/>
      <c r="I349" s="52"/>
      <c r="J349" s="52"/>
      <c r="K349" s="139"/>
    </row>
    <row r="350" ht="11.1" customHeight="1" spans="1:11">
      <c r="A350" s="46">
        <v>4</v>
      </c>
      <c r="B350" s="46" t="s">
        <v>398</v>
      </c>
      <c r="C350" s="34"/>
      <c r="D350" s="34"/>
      <c r="E350" s="34"/>
      <c r="F350" s="46" t="s">
        <v>371</v>
      </c>
      <c r="I350" s="52"/>
      <c r="J350" s="52"/>
      <c r="K350" s="139"/>
    </row>
    <row r="351" ht="11.1" customHeight="1" spans="1:11">
      <c r="A351" s="46">
        <v>5</v>
      </c>
      <c r="B351" s="46" t="s">
        <v>17</v>
      </c>
      <c r="C351" s="34"/>
      <c r="D351" s="34"/>
      <c r="E351" s="34"/>
      <c r="F351" s="34" t="s">
        <v>372</v>
      </c>
      <c r="G351" s="38"/>
      <c r="I351" s="52"/>
      <c r="J351" s="52"/>
      <c r="K351" s="140" t="s">
        <v>21</v>
      </c>
    </row>
    <row r="352" ht="11.1" customHeight="1" spans="1:11">
      <c r="A352" s="46">
        <v>6</v>
      </c>
      <c r="B352" s="46" t="s">
        <v>26</v>
      </c>
      <c r="C352" s="34"/>
      <c r="D352" s="34"/>
      <c r="E352" s="34"/>
      <c r="F352" s="34" t="s">
        <v>374</v>
      </c>
      <c r="G352" s="38"/>
      <c r="I352" s="52"/>
      <c r="J352" s="52"/>
      <c r="K352" s="139"/>
    </row>
    <row r="353" ht="11.1" customHeight="1" spans="2:11">
      <c r="B353" s="94"/>
      <c r="C353" s="94"/>
      <c r="D353" s="94"/>
      <c r="E353" s="94"/>
      <c r="F353" s="94"/>
      <c r="G353" s="38"/>
      <c r="H353" s="46"/>
      <c r="I353" s="52"/>
      <c r="J353" s="52"/>
      <c r="K353" s="139"/>
    </row>
    <row r="354" ht="11.1" customHeight="1" spans="2:11">
      <c r="B354" s="44"/>
      <c r="C354" s="95" t="s">
        <v>375</v>
      </c>
      <c r="D354" s="44"/>
      <c r="E354" s="44"/>
      <c r="F354" s="44"/>
      <c r="G354" s="38"/>
      <c r="H354" s="38"/>
      <c r="I354" s="52"/>
      <c r="J354" s="52" t="s">
        <v>21</v>
      </c>
      <c r="K354" s="52" t="s">
        <v>21</v>
      </c>
    </row>
    <row r="355" ht="11.1" customHeight="1" spans="1:11">
      <c r="A355" s="46">
        <v>1</v>
      </c>
      <c r="B355" s="96" t="s">
        <v>27</v>
      </c>
      <c r="C355" s="44"/>
      <c r="D355" s="97"/>
      <c r="E355" s="44"/>
      <c r="F355" s="44"/>
      <c r="G355" s="38"/>
      <c r="H355" s="38"/>
      <c r="I355" s="52"/>
      <c r="J355" s="52" t="s">
        <v>21</v>
      </c>
      <c r="K355" s="52" t="s">
        <v>21</v>
      </c>
    </row>
    <row r="356" ht="11.1" customHeight="1" spans="1:11">
      <c r="A356" s="46">
        <v>2</v>
      </c>
      <c r="B356" s="96" t="s">
        <v>399</v>
      </c>
      <c r="C356" s="46"/>
      <c r="D356" s="98"/>
      <c r="E356" s="46"/>
      <c r="F356" s="46"/>
      <c r="G356" s="38"/>
      <c r="H356" s="38"/>
      <c r="I356" s="52"/>
      <c r="J356" s="52"/>
      <c r="K356" s="139"/>
    </row>
    <row r="357" ht="11.1" customHeight="1" spans="1:11">
      <c r="A357" s="46">
        <v>3</v>
      </c>
      <c r="B357" s="96" t="s">
        <v>29</v>
      </c>
      <c r="D357" s="98"/>
      <c r="E357" s="46"/>
      <c r="F357" s="46"/>
      <c r="G357" s="38"/>
      <c r="H357" s="38"/>
      <c r="I357" s="52"/>
      <c r="J357" s="52"/>
      <c r="K357" s="139"/>
    </row>
    <row r="358" ht="11.1" customHeight="1" spans="1:11">
      <c r="A358" s="46">
        <v>4</v>
      </c>
      <c r="B358" s="96" t="s">
        <v>30</v>
      </c>
      <c r="C358" s="46"/>
      <c r="D358" s="98"/>
      <c r="E358" s="46"/>
      <c r="F358" s="46"/>
      <c r="G358" s="38"/>
      <c r="H358" s="38"/>
      <c r="I358" s="52"/>
      <c r="J358" s="52"/>
      <c r="K358" s="139"/>
    </row>
    <row r="359" ht="11.1" customHeight="1" spans="1:11">
      <c r="A359" s="46">
        <v>5</v>
      </c>
      <c r="B359" s="96" t="s">
        <v>31</v>
      </c>
      <c r="C359" s="46"/>
      <c r="D359" s="98"/>
      <c r="E359" s="46"/>
      <c r="F359" s="46"/>
      <c r="G359" s="38"/>
      <c r="H359" s="38"/>
      <c r="I359" s="52"/>
      <c r="J359" s="52"/>
      <c r="K359" s="139"/>
    </row>
    <row r="360" ht="11.1" customHeight="1" spans="1:11">
      <c r="A360" s="46">
        <v>6</v>
      </c>
      <c r="B360" s="96" t="s">
        <v>32</v>
      </c>
      <c r="C360" s="46"/>
      <c r="D360" s="98"/>
      <c r="E360" s="46"/>
      <c r="F360" s="46"/>
      <c r="G360" s="38"/>
      <c r="H360" s="38"/>
      <c r="I360" s="52"/>
      <c r="J360" s="52"/>
      <c r="K360" s="139"/>
    </row>
    <row r="361" ht="11.1" customHeight="1" spans="2:11">
      <c r="B361" s="46"/>
      <c r="C361" s="46"/>
      <c r="D361" s="46"/>
      <c r="E361" s="46"/>
      <c r="F361" s="46"/>
      <c r="G361" s="38"/>
      <c r="H361" s="38"/>
      <c r="I361" s="52"/>
      <c r="J361" s="52"/>
      <c r="K361" s="139"/>
    </row>
    <row r="362" ht="11.1" customHeight="1" spans="2:11">
      <c r="B362" s="46"/>
      <c r="C362" s="95" t="s">
        <v>381</v>
      </c>
      <c r="D362" s="46"/>
      <c r="E362" s="46"/>
      <c r="F362" s="46"/>
      <c r="G362" s="38"/>
      <c r="H362" s="38"/>
      <c r="I362" s="52"/>
      <c r="J362" s="52"/>
      <c r="K362" s="139"/>
    </row>
    <row r="363" ht="11.1" customHeight="1" spans="1:11">
      <c r="A363" s="46">
        <v>1</v>
      </c>
      <c r="B363" s="46" t="s">
        <v>400</v>
      </c>
      <c r="C363" s="46"/>
      <c r="D363" s="46"/>
      <c r="E363" s="46"/>
      <c r="F363" s="46"/>
      <c r="G363" s="38" t="s">
        <v>21</v>
      </c>
      <c r="H363" s="38"/>
      <c r="I363" s="52"/>
      <c r="J363" s="52"/>
      <c r="K363" s="139"/>
    </row>
    <row r="364" ht="11.1" customHeight="1" spans="1:11">
      <c r="A364" s="46">
        <v>2</v>
      </c>
      <c r="B364" s="46" t="s">
        <v>34</v>
      </c>
      <c r="C364" s="46"/>
      <c r="D364" s="46"/>
      <c r="E364" s="46"/>
      <c r="F364" s="46"/>
      <c r="G364" s="38"/>
      <c r="H364" s="38"/>
      <c r="I364" s="52"/>
      <c r="J364" s="52"/>
      <c r="K364" s="139"/>
    </row>
    <row r="365" ht="11.1" customHeight="1" spans="1:11">
      <c r="A365" s="46">
        <v>3</v>
      </c>
      <c r="B365" s="46" t="s">
        <v>35</v>
      </c>
      <c r="C365" s="46"/>
      <c r="D365" s="46"/>
      <c r="E365" s="46"/>
      <c r="F365" s="46"/>
      <c r="G365" s="38"/>
      <c r="H365" s="38"/>
      <c r="I365" s="52"/>
      <c r="J365" s="52"/>
      <c r="K365" s="139"/>
    </row>
    <row r="366" ht="11.1" customHeight="1" spans="1:11">
      <c r="A366" s="163">
        <v>4</v>
      </c>
      <c r="B366" s="163" t="s">
        <v>36</v>
      </c>
      <c r="C366" s="46"/>
      <c r="D366" s="46"/>
      <c r="E366" s="163" t="s">
        <v>37</v>
      </c>
      <c r="F366" s="46"/>
      <c r="G366" s="38"/>
      <c r="H366" s="38"/>
      <c r="I366" s="52"/>
      <c r="J366" s="52"/>
      <c r="K366" s="139"/>
    </row>
    <row r="367" ht="11.1" customHeight="1" spans="1:11">
      <c r="A367" s="163">
        <v>5</v>
      </c>
      <c r="B367" s="163" t="s">
        <v>401</v>
      </c>
      <c r="C367" s="46"/>
      <c r="D367" s="46"/>
      <c r="E367" s="164" t="s">
        <v>39</v>
      </c>
      <c r="F367" s="46"/>
      <c r="G367" s="38"/>
      <c r="H367" s="38"/>
      <c r="I367" s="52"/>
      <c r="J367" s="52"/>
      <c r="K367" s="139"/>
    </row>
    <row r="368" ht="11.1" customHeight="1" spans="1:11">
      <c r="A368" s="163">
        <v>6</v>
      </c>
      <c r="B368" s="163" t="s">
        <v>402</v>
      </c>
      <c r="C368" s="38"/>
      <c r="D368" s="38"/>
      <c r="E368" s="164" t="s">
        <v>403</v>
      </c>
      <c r="F368" s="38"/>
      <c r="G368" s="38"/>
      <c r="H368" s="38"/>
      <c r="I368" s="52"/>
      <c r="J368" s="52"/>
      <c r="K368" s="139"/>
    </row>
    <row r="369" ht="11.1" customHeight="1" spans="2:11">
      <c r="B369" s="99"/>
      <c r="C369" s="99"/>
      <c r="D369" s="99"/>
      <c r="F369" s="99"/>
      <c r="G369" s="52"/>
      <c r="H369" s="52"/>
      <c r="I369" s="52"/>
      <c r="J369" s="52"/>
      <c r="K369" s="139"/>
    </row>
    <row r="370" ht="11.1" customHeight="1" spans="2:11">
      <c r="B370" s="52"/>
      <c r="C370" s="52"/>
      <c r="D370" s="52"/>
      <c r="E370" s="52"/>
      <c r="F370" s="52"/>
      <c r="G370" s="52"/>
      <c r="H370" s="52"/>
      <c r="I370" s="52"/>
      <c r="J370" s="52"/>
      <c r="K370" s="139"/>
    </row>
    <row r="371" ht="11.1" customHeight="1" spans="2:11">
      <c r="B371" s="52"/>
      <c r="C371" s="52"/>
      <c r="D371" s="52"/>
      <c r="E371" s="119" t="s">
        <v>387</v>
      </c>
      <c r="F371" s="52"/>
      <c r="G371" s="52"/>
      <c r="H371" s="52"/>
      <c r="I371" s="52"/>
      <c r="J371" s="52"/>
      <c r="K371" s="139"/>
    </row>
    <row r="372" ht="11.1" customHeight="1" spans="2:11">
      <c r="B372" s="52"/>
      <c r="C372" s="52"/>
      <c r="D372" s="52"/>
      <c r="E372" s="52"/>
      <c r="F372" s="52"/>
      <c r="G372" s="52"/>
      <c r="H372" s="52"/>
      <c r="I372" s="52"/>
      <c r="J372" s="52"/>
      <c r="K372" s="139"/>
    </row>
    <row r="373" ht="11.1" customHeight="1" spans="2:11">
      <c r="B373" s="52"/>
      <c r="C373" s="52"/>
      <c r="D373" s="52"/>
      <c r="E373" s="52"/>
      <c r="F373" s="52"/>
      <c r="G373" s="52"/>
      <c r="H373" s="52"/>
      <c r="I373" s="52"/>
      <c r="J373" s="52"/>
      <c r="K373" s="139"/>
    </row>
    <row r="374" ht="11.1" customHeight="1" spans="2:10">
      <c r="B374" s="38"/>
      <c r="C374" s="38"/>
      <c r="D374" s="52"/>
      <c r="E374" s="52"/>
      <c r="F374" s="52"/>
      <c r="G374" s="52"/>
      <c r="H374" s="52"/>
      <c r="I374" s="52"/>
      <c r="J374" s="52"/>
    </row>
    <row r="375" ht="11.1" customHeight="1" spans="2:11">
      <c r="B375" s="100" t="s">
        <v>388</v>
      </c>
      <c r="C375" s="101"/>
      <c r="D375" s="101"/>
      <c r="E375" s="101"/>
      <c r="F375" s="101"/>
      <c r="G375" s="101"/>
      <c r="H375" s="101"/>
      <c r="I375" s="101"/>
      <c r="J375" s="101"/>
      <c r="K375" s="141"/>
    </row>
    <row r="376" ht="11.1" customHeight="1" spans="2:10">
      <c r="B376" s="38"/>
      <c r="C376" s="38"/>
      <c r="D376" s="52"/>
      <c r="E376" s="52"/>
      <c r="F376" s="52"/>
      <c r="G376" s="52"/>
      <c r="H376" s="52"/>
      <c r="I376" s="52"/>
      <c r="J376" s="52"/>
    </row>
    <row r="377" ht="11.1" customHeight="1" spans="2:12">
      <c r="B377" s="55" t="s">
        <v>389</v>
      </c>
      <c r="C377" s="102"/>
      <c r="D377" s="102"/>
      <c r="E377" s="120"/>
      <c r="F377" s="121" t="s">
        <v>390</v>
      </c>
      <c r="G377" s="102" t="s">
        <v>59</v>
      </c>
      <c r="H377" s="120"/>
      <c r="I377" s="142" t="s">
        <v>391</v>
      </c>
      <c r="J377" s="143" t="s">
        <v>392</v>
      </c>
      <c r="K377" s="144"/>
      <c r="L377" s="145"/>
    </row>
    <row r="378" ht="11.1" customHeight="1" spans="2:12">
      <c r="B378" s="159"/>
      <c r="C378" s="160"/>
      <c r="D378" s="160"/>
      <c r="E378" s="161"/>
      <c r="F378" s="123"/>
      <c r="G378" s="124"/>
      <c r="H378" s="125"/>
      <c r="I378" s="146"/>
      <c r="J378" s="147"/>
      <c r="K378" s="148"/>
      <c r="L378" s="139"/>
    </row>
    <row r="379" ht="11.1" customHeight="1" spans="2:11">
      <c r="B379" s="105"/>
      <c r="C379" s="106"/>
      <c r="D379" s="106"/>
      <c r="E379" s="126"/>
      <c r="F379" s="127"/>
      <c r="G379" s="128"/>
      <c r="H379" s="129"/>
      <c r="I379" s="146"/>
      <c r="J379" s="149"/>
      <c r="K379" s="150"/>
    </row>
    <row r="380" ht="11.1" customHeight="1" spans="2:11">
      <c r="B380" s="107"/>
      <c r="C380" s="108"/>
      <c r="D380" s="108"/>
      <c r="E380" s="130"/>
      <c r="F380" s="131"/>
      <c r="G380" s="132"/>
      <c r="H380" s="133"/>
      <c r="I380" s="151"/>
      <c r="J380" s="152"/>
      <c r="K380" s="153"/>
    </row>
    <row r="381" ht="11.1" customHeight="1" spans="2:11">
      <c r="B381" s="107"/>
      <c r="C381" s="108"/>
      <c r="D381" s="108"/>
      <c r="E381" s="130"/>
      <c r="F381" s="131"/>
      <c r="G381" s="132"/>
      <c r="H381" s="133"/>
      <c r="I381" s="151"/>
      <c r="J381" s="152"/>
      <c r="K381" s="153"/>
    </row>
    <row r="382" ht="11.1" customHeight="1" spans="2:11">
      <c r="B382" s="109"/>
      <c r="C382" s="110"/>
      <c r="D382" s="110"/>
      <c r="E382" s="134"/>
      <c r="F382" s="135"/>
      <c r="G382" s="136"/>
      <c r="H382" s="134"/>
      <c r="I382" s="154"/>
      <c r="J382" s="151"/>
      <c r="K382" s="155"/>
    </row>
    <row r="383" ht="11.1" customHeight="1" spans="2:11">
      <c r="B383" s="111"/>
      <c r="C383" s="112"/>
      <c r="D383" s="112"/>
      <c r="E383" s="49"/>
      <c r="F383" s="137"/>
      <c r="G383" s="137"/>
      <c r="H383" s="49"/>
      <c r="I383" s="112"/>
      <c r="J383" s="112"/>
      <c r="K383" s="156"/>
    </row>
    <row r="384" ht="11.1" customHeight="1" spans="2:11">
      <c r="B384" s="111"/>
      <c r="C384" s="112"/>
      <c r="D384" s="112"/>
      <c r="E384" s="49"/>
      <c r="F384" s="137"/>
      <c r="G384" s="137"/>
      <c r="H384" s="49"/>
      <c r="I384" s="112"/>
      <c r="J384" s="112"/>
      <c r="K384" s="156"/>
    </row>
    <row r="385" ht="11.1" customHeight="1" spans="2:11">
      <c r="B385" s="111"/>
      <c r="C385" s="112"/>
      <c r="D385" s="112"/>
      <c r="E385" s="49"/>
      <c r="F385" s="137"/>
      <c r="G385" s="137"/>
      <c r="H385" s="49"/>
      <c r="I385" s="112"/>
      <c r="J385" s="112"/>
      <c r="K385" s="156"/>
    </row>
    <row r="386" ht="11.1" customHeight="1" spans="2:11">
      <c r="B386" s="111"/>
      <c r="C386" s="112"/>
      <c r="D386" s="112"/>
      <c r="E386" s="49"/>
      <c r="F386" s="137"/>
      <c r="G386" s="137"/>
      <c r="H386" s="49"/>
      <c r="I386" s="112"/>
      <c r="J386" s="112"/>
      <c r="K386" s="156"/>
    </row>
    <row r="387" ht="11.1" customHeight="1" spans="2:11">
      <c r="B387" s="111"/>
      <c r="C387" s="112"/>
      <c r="D387" s="112"/>
      <c r="E387" s="49"/>
      <c r="F387" s="137"/>
      <c r="G387" s="137"/>
      <c r="H387" s="49"/>
      <c r="I387" s="112"/>
      <c r="J387" s="112"/>
      <c r="K387" s="156"/>
    </row>
    <row r="388" ht="11.1" customHeight="1" spans="2:11">
      <c r="B388" s="113"/>
      <c r="C388" s="114"/>
      <c r="D388" s="114"/>
      <c r="E388" s="114"/>
      <c r="F388" s="114"/>
      <c r="G388" s="114"/>
      <c r="H388" s="114"/>
      <c r="I388" s="114"/>
      <c r="J388" s="114"/>
      <c r="K388" s="157"/>
    </row>
    <row r="389" ht="11.1" customHeight="1" spans="2:11">
      <c r="B389" s="113"/>
      <c r="C389" s="114"/>
      <c r="D389" s="114"/>
      <c r="E389" s="114"/>
      <c r="F389" s="114"/>
      <c r="G389" s="114"/>
      <c r="H389" s="114"/>
      <c r="I389" s="114"/>
      <c r="J389" s="114"/>
      <c r="K389" s="157"/>
    </row>
    <row r="390" ht="11.1" customHeight="1" spans="2:11">
      <c r="B390" s="115"/>
      <c r="C390" s="116"/>
      <c r="D390" s="116"/>
      <c r="E390" s="116"/>
      <c r="F390" s="116"/>
      <c r="G390" s="116"/>
      <c r="H390" s="116"/>
      <c r="I390" s="116"/>
      <c r="J390" s="116"/>
      <c r="K390" s="158"/>
    </row>
    <row r="391" ht="11.1" customHeight="1" spans="2:11">
      <c r="B391" s="73"/>
      <c r="C391" s="114"/>
      <c r="D391" s="114"/>
      <c r="E391" s="114"/>
      <c r="F391" s="114"/>
      <c r="G391" s="114"/>
      <c r="H391" s="114"/>
      <c r="I391" s="114"/>
      <c r="J391" s="114"/>
      <c r="K391" s="114"/>
    </row>
  </sheetData>
  <mergeCells count="158">
    <mergeCell ref="C3:J3"/>
    <mergeCell ref="A4:L4"/>
    <mergeCell ref="C8:E8"/>
    <mergeCell ref="I36:J36"/>
    <mergeCell ref="G59:I59"/>
    <mergeCell ref="F61:J61"/>
    <mergeCell ref="G62:I62"/>
    <mergeCell ref="D63:F63"/>
    <mergeCell ref="D64:F64"/>
    <mergeCell ref="D65:F65"/>
    <mergeCell ref="I65:K65"/>
    <mergeCell ref="C67:G67"/>
    <mergeCell ref="I67:K67"/>
    <mergeCell ref="C68:G68"/>
    <mergeCell ref="I68:K68"/>
    <mergeCell ref="A71:L71"/>
    <mergeCell ref="B82:F82"/>
    <mergeCell ref="B89:F89"/>
    <mergeCell ref="B111:K111"/>
    <mergeCell ref="B113:E113"/>
    <mergeCell ref="G113:H113"/>
    <mergeCell ref="B114:E114"/>
    <mergeCell ref="G114:H114"/>
    <mergeCell ref="J114:K114"/>
    <mergeCell ref="B115:E115"/>
    <mergeCell ref="G115:H115"/>
    <mergeCell ref="J115:K115"/>
    <mergeCell ref="B116:E116"/>
    <mergeCell ref="G116:H116"/>
    <mergeCell ref="J116:K116"/>
    <mergeCell ref="B117:E117"/>
    <mergeCell ref="G117:H117"/>
    <mergeCell ref="J117:K117"/>
    <mergeCell ref="B118:E118"/>
    <mergeCell ref="J118:K118"/>
    <mergeCell ref="B119:D119"/>
    <mergeCell ref="F119:G119"/>
    <mergeCell ref="I119:K119"/>
    <mergeCell ref="B120:D120"/>
    <mergeCell ref="F120:G120"/>
    <mergeCell ref="I120:K120"/>
    <mergeCell ref="B121:D121"/>
    <mergeCell ref="F121:G121"/>
    <mergeCell ref="I121:K121"/>
    <mergeCell ref="B122:D122"/>
    <mergeCell ref="F122:G122"/>
    <mergeCell ref="I122:K122"/>
    <mergeCell ref="B123:D123"/>
    <mergeCell ref="F123:G123"/>
    <mergeCell ref="I123:K123"/>
    <mergeCell ref="C135:J135"/>
    <mergeCell ref="A136:L136"/>
    <mergeCell ref="C140:E140"/>
    <mergeCell ref="I168:J168"/>
    <mergeCell ref="G191:I191"/>
    <mergeCell ref="F193:J193"/>
    <mergeCell ref="G194:I194"/>
    <mergeCell ref="D195:F195"/>
    <mergeCell ref="D196:F196"/>
    <mergeCell ref="D197:F197"/>
    <mergeCell ref="I197:K197"/>
    <mergeCell ref="C199:G199"/>
    <mergeCell ref="I199:K199"/>
    <mergeCell ref="C200:G200"/>
    <mergeCell ref="I200:K200"/>
    <mergeCell ref="A203:L203"/>
    <mergeCell ref="B214:F214"/>
    <mergeCell ref="B221:F221"/>
    <mergeCell ref="B243:K243"/>
    <mergeCell ref="B245:E245"/>
    <mergeCell ref="G245:H245"/>
    <mergeCell ref="B246:E246"/>
    <mergeCell ref="G246:H246"/>
    <mergeCell ref="J246:K246"/>
    <mergeCell ref="B247:E247"/>
    <mergeCell ref="G247:H247"/>
    <mergeCell ref="J247:K247"/>
    <mergeCell ref="B248:E248"/>
    <mergeCell ref="G248:H248"/>
    <mergeCell ref="J248:K248"/>
    <mergeCell ref="B249:E249"/>
    <mergeCell ref="G249:H249"/>
    <mergeCell ref="J249:K249"/>
    <mergeCell ref="B250:E250"/>
    <mergeCell ref="J250:K250"/>
    <mergeCell ref="B251:D251"/>
    <mergeCell ref="F251:G251"/>
    <mergeCell ref="I251:K251"/>
    <mergeCell ref="B252:D252"/>
    <mergeCell ref="F252:G252"/>
    <mergeCell ref="I252:K252"/>
    <mergeCell ref="B253:D253"/>
    <mergeCell ref="F253:G253"/>
    <mergeCell ref="I253:K253"/>
    <mergeCell ref="B254:D254"/>
    <mergeCell ref="F254:G254"/>
    <mergeCell ref="I254:K254"/>
    <mergeCell ref="B255:D255"/>
    <mergeCell ref="F255:G255"/>
    <mergeCell ref="I255:K255"/>
    <mergeCell ref="C268:J268"/>
    <mergeCell ref="A269:L269"/>
    <mergeCell ref="C273:E273"/>
    <mergeCell ref="I301:J301"/>
    <mergeCell ref="G324:I324"/>
    <mergeCell ref="F326:J326"/>
    <mergeCell ref="G327:I327"/>
    <mergeCell ref="D328:F328"/>
    <mergeCell ref="D329:F329"/>
    <mergeCell ref="I329:K329"/>
    <mergeCell ref="C331:G331"/>
    <mergeCell ref="I331:K331"/>
    <mergeCell ref="C332:G332"/>
    <mergeCell ref="I332:K332"/>
    <mergeCell ref="A335:L335"/>
    <mergeCell ref="B346:F346"/>
    <mergeCell ref="B353:F353"/>
    <mergeCell ref="B375:K375"/>
    <mergeCell ref="B377:E377"/>
    <mergeCell ref="G377:H377"/>
    <mergeCell ref="B378:E378"/>
    <mergeCell ref="G378:H378"/>
    <mergeCell ref="J378:K378"/>
    <mergeCell ref="B379:E379"/>
    <mergeCell ref="G379:H379"/>
    <mergeCell ref="J379:K379"/>
    <mergeCell ref="B380:E380"/>
    <mergeCell ref="G380:H380"/>
    <mergeCell ref="J380:K380"/>
    <mergeCell ref="B381:E381"/>
    <mergeCell ref="G381:H381"/>
    <mergeCell ref="J381:K381"/>
    <mergeCell ref="B382:E382"/>
    <mergeCell ref="J382:K382"/>
    <mergeCell ref="B383:D383"/>
    <mergeCell ref="F383:G383"/>
    <mergeCell ref="I383:K383"/>
    <mergeCell ref="B384:D384"/>
    <mergeCell ref="F384:G384"/>
    <mergeCell ref="I384:K384"/>
    <mergeCell ref="B385:D385"/>
    <mergeCell ref="F385:G385"/>
    <mergeCell ref="I385:K385"/>
    <mergeCell ref="B386:D386"/>
    <mergeCell ref="F386:G386"/>
    <mergeCell ref="I386:K386"/>
    <mergeCell ref="B387:D387"/>
    <mergeCell ref="F387:G387"/>
    <mergeCell ref="I387:K387"/>
    <mergeCell ref="B10:B11"/>
    <mergeCell ref="B142:B143"/>
    <mergeCell ref="B275:B276"/>
    <mergeCell ref="I10:I11"/>
    <mergeCell ref="I142:I143"/>
    <mergeCell ref="I275:I276"/>
    <mergeCell ref="J9:J11"/>
    <mergeCell ref="J141:J143"/>
    <mergeCell ref="J274:J276"/>
  </mergeCells>
  <pageMargins left="0.314583333333333" right="0.314583333333333" top="0.354166666666667" bottom="0.354166666666667" header="0.314583333333333" footer="0.314583333333333"/>
  <pageSetup paperSize="1" orientation="portrait" horizontalDpi="600" verticalDpi="60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25"/>
  <sheetViews>
    <sheetView workbookViewId="0">
      <selection activeCell="H14" sqref="H14"/>
    </sheetView>
  </sheetViews>
  <sheetFormatPr defaultColWidth="10.954128440367" defaultRowHeight="15" outlineLevelCol="7"/>
  <cols>
    <col min="1" max="1" width="4.13761467889908" customWidth="1"/>
    <col min="2" max="2" width="8.70642201834862" customWidth="1"/>
    <col min="3" max="3" width="12" customWidth="1"/>
    <col min="4" max="4" width="7.28440366972477" customWidth="1"/>
    <col min="5" max="5" width="31.1376146788991" customWidth="1"/>
    <col min="6" max="6" width="18.1376146788991" customWidth="1"/>
    <col min="7" max="7" width="15" style="1" customWidth="1"/>
    <col min="8" max="8" width="13" customWidth="1"/>
    <col min="9" max="24" width="6.42201834862385" customWidth="1"/>
  </cols>
  <sheetData>
    <row r="1" ht="37.5" customHeight="1" spans="4:6">
      <c r="D1" s="2" t="s">
        <v>44</v>
      </c>
      <c r="E1" s="2"/>
      <c r="F1" s="2"/>
    </row>
    <row r="2" ht="24" customHeight="1" spans="4:6">
      <c r="D2" s="3" t="s">
        <v>404</v>
      </c>
      <c r="E2" s="3"/>
      <c r="F2" s="3"/>
    </row>
    <row r="3" ht="21" spans="4:6">
      <c r="D3" s="4" t="s">
        <v>405</v>
      </c>
      <c r="E3" s="4"/>
      <c r="F3" s="1"/>
    </row>
    <row r="4" spans="1:8">
      <c r="A4" s="5" t="s">
        <v>406</v>
      </c>
      <c r="B4" s="6" t="s">
        <v>407</v>
      </c>
      <c r="C4" s="7" t="s">
        <v>59</v>
      </c>
      <c r="D4" s="7" t="s">
        <v>408</v>
      </c>
      <c r="E4" s="5" t="s">
        <v>409</v>
      </c>
      <c r="F4" s="5" t="s">
        <v>410</v>
      </c>
      <c r="G4" s="5" t="s">
        <v>411</v>
      </c>
      <c r="H4" s="19" t="s">
        <v>412</v>
      </c>
    </row>
    <row r="5" ht="15.75" spans="1:8">
      <c r="A5" s="8">
        <v>1</v>
      </c>
      <c r="B5" s="9" t="s">
        <v>413</v>
      </c>
      <c r="C5" s="10">
        <v>46036</v>
      </c>
      <c r="D5" s="11">
        <v>2753</v>
      </c>
      <c r="E5" s="20" t="s">
        <v>414</v>
      </c>
      <c r="F5" s="21" t="s">
        <v>415</v>
      </c>
      <c r="G5" s="20" t="s">
        <v>416</v>
      </c>
      <c r="H5" s="22">
        <v>45899</v>
      </c>
    </row>
    <row r="6" ht="15.75" spans="1:8">
      <c r="A6" s="8">
        <v>2</v>
      </c>
      <c r="B6" s="9" t="s">
        <v>417</v>
      </c>
      <c r="C6" s="10">
        <v>46036</v>
      </c>
      <c r="D6" s="11">
        <v>2754</v>
      </c>
      <c r="E6" s="21" t="s">
        <v>418</v>
      </c>
      <c r="F6" s="21" t="s">
        <v>419</v>
      </c>
      <c r="G6" s="20" t="s">
        <v>420</v>
      </c>
      <c r="H6" s="22">
        <v>45930</v>
      </c>
    </row>
    <row r="7" ht="15.75" spans="1:8">
      <c r="A7" s="8">
        <v>3</v>
      </c>
      <c r="B7" s="12" t="s">
        <v>421</v>
      </c>
      <c r="C7" s="13">
        <v>46045</v>
      </c>
      <c r="D7" s="11">
        <v>2755</v>
      </c>
      <c r="E7" s="23" t="s">
        <v>422</v>
      </c>
      <c r="F7" s="24" t="s">
        <v>423</v>
      </c>
      <c r="G7" s="25" t="s">
        <v>424</v>
      </c>
      <c r="H7" s="26">
        <v>45960</v>
      </c>
    </row>
    <row r="8" ht="15.75" spans="1:8">
      <c r="A8" s="8">
        <v>4</v>
      </c>
      <c r="B8" s="12" t="s">
        <v>425</v>
      </c>
      <c r="C8" s="13">
        <v>46046</v>
      </c>
      <c r="D8" s="11">
        <v>2756</v>
      </c>
      <c r="E8" s="23" t="s">
        <v>426</v>
      </c>
      <c r="F8" s="24" t="s">
        <v>427</v>
      </c>
      <c r="G8" s="25" t="s">
        <v>428</v>
      </c>
      <c r="H8" s="26">
        <v>45986</v>
      </c>
    </row>
    <row r="9" ht="15.75" spans="1:8">
      <c r="A9" s="14">
        <v>5</v>
      </c>
      <c r="B9" s="12" t="s">
        <v>429</v>
      </c>
      <c r="C9" s="13">
        <v>46092</v>
      </c>
      <c r="D9" s="11">
        <v>2757</v>
      </c>
      <c r="E9" s="23" t="s">
        <v>430</v>
      </c>
      <c r="F9" s="24" t="s">
        <v>431</v>
      </c>
      <c r="G9" s="25" t="s">
        <v>420</v>
      </c>
      <c r="H9" s="27">
        <v>46053</v>
      </c>
    </row>
    <row r="10" ht="15.75" spans="1:8">
      <c r="A10" s="15">
        <v>6</v>
      </c>
      <c r="B10" s="12" t="s">
        <v>432</v>
      </c>
      <c r="C10" s="13">
        <v>265330</v>
      </c>
      <c r="D10" s="11">
        <v>2758</v>
      </c>
      <c r="E10" s="14" t="s">
        <v>433</v>
      </c>
      <c r="F10" s="28" t="s">
        <v>434</v>
      </c>
      <c r="G10" s="29" t="s">
        <v>435</v>
      </c>
      <c r="H10" s="27">
        <v>46080</v>
      </c>
    </row>
    <row r="11" ht="15.75" spans="1:8">
      <c r="A11" s="15"/>
      <c r="B11" s="12"/>
      <c r="C11" s="12"/>
      <c r="D11" s="11">
        <v>2759</v>
      </c>
      <c r="E11" s="30"/>
      <c r="F11" s="28"/>
      <c r="G11" s="29"/>
      <c r="H11" s="27">
        <v>46111</v>
      </c>
    </row>
    <row r="12" ht="15.75" spans="1:8">
      <c r="A12" s="15"/>
      <c r="B12" s="12"/>
      <c r="C12" s="12"/>
      <c r="D12" s="11">
        <v>2760</v>
      </c>
      <c r="E12" s="30"/>
      <c r="F12" s="28"/>
      <c r="G12" s="29"/>
      <c r="H12" s="27">
        <v>46140</v>
      </c>
    </row>
    <row r="13" ht="15.75" spans="1:8">
      <c r="A13" s="15"/>
      <c r="B13" s="12"/>
      <c r="C13" s="12"/>
      <c r="D13" s="11">
        <v>2761</v>
      </c>
      <c r="E13" s="30"/>
      <c r="F13" s="28"/>
      <c r="G13" s="29"/>
      <c r="H13" s="27">
        <v>46201</v>
      </c>
    </row>
    <row r="14" ht="15.75" spans="1:8">
      <c r="A14" s="15"/>
      <c r="B14" s="12"/>
      <c r="C14" s="12"/>
      <c r="D14" s="11"/>
      <c r="E14" s="30"/>
      <c r="F14" s="28"/>
      <c r="G14" s="29"/>
      <c r="H14" s="27"/>
    </row>
    <row r="15" ht="15.75" spans="1:8">
      <c r="A15" s="15"/>
      <c r="B15" s="12"/>
      <c r="C15" s="12"/>
      <c r="D15" s="11"/>
      <c r="E15" s="30"/>
      <c r="F15" s="28"/>
      <c r="G15" s="29"/>
      <c r="H15" s="27"/>
    </row>
    <row r="16" ht="15.75" spans="1:8">
      <c r="A16" s="15"/>
      <c r="B16" s="16"/>
      <c r="C16" s="16"/>
      <c r="D16" s="11"/>
      <c r="E16" s="30"/>
      <c r="F16" s="28"/>
      <c r="G16" s="29"/>
      <c r="H16" s="30"/>
    </row>
    <row r="17" ht="15.75" spans="1:8">
      <c r="A17" s="15"/>
      <c r="B17" s="16"/>
      <c r="C17" s="16"/>
      <c r="D17" s="11"/>
      <c r="E17" s="21"/>
      <c r="F17" s="31"/>
      <c r="G17" s="20"/>
      <c r="H17" s="21"/>
    </row>
    <row r="18" ht="15.75" spans="1:8">
      <c r="A18" s="15"/>
      <c r="B18" s="16"/>
      <c r="C18" s="16"/>
      <c r="D18" s="11"/>
      <c r="E18" s="21"/>
      <c r="F18" s="31"/>
      <c r="G18" s="20"/>
      <c r="H18" s="21"/>
    </row>
    <row r="19" ht="15.75" spans="1:8">
      <c r="A19" s="15"/>
      <c r="B19" s="17"/>
      <c r="C19" s="17"/>
      <c r="D19" s="11"/>
      <c r="E19" s="21"/>
      <c r="F19" s="31"/>
      <c r="G19" s="20"/>
      <c r="H19" s="21"/>
    </row>
    <row r="20" ht="15.75" spans="1:8">
      <c r="A20" s="15"/>
      <c r="B20" s="17"/>
      <c r="C20" s="17"/>
      <c r="D20" s="11"/>
      <c r="E20" s="21"/>
      <c r="F20" s="31"/>
      <c r="G20" s="20"/>
      <c r="H20" s="21"/>
    </row>
    <row r="21" ht="15.75" spans="1:8">
      <c r="A21" s="15"/>
      <c r="B21" s="17"/>
      <c r="C21" s="17"/>
      <c r="D21" s="11"/>
      <c r="E21" s="21"/>
      <c r="F21" s="31"/>
      <c r="G21" s="20"/>
      <c r="H21" s="21"/>
    </row>
    <row r="22" ht="15.75" spans="1:8">
      <c r="A22" s="15"/>
      <c r="B22" s="16"/>
      <c r="C22" s="16"/>
      <c r="D22" s="11"/>
      <c r="E22" s="21"/>
      <c r="F22" s="31"/>
      <c r="G22" s="20"/>
      <c r="H22" s="21"/>
    </row>
    <row r="23" ht="15.75" spans="1:8">
      <c r="A23" s="15"/>
      <c r="B23" s="16"/>
      <c r="C23" s="16"/>
      <c r="D23" s="18"/>
      <c r="E23" s="21"/>
      <c r="F23" s="31"/>
      <c r="G23" s="20"/>
      <c r="H23" s="21"/>
    </row>
    <row r="24" ht="15.75" spans="1:8">
      <c r="A24" s="15"/>
      <c r="B24" s="16"/>
      <c r="C24" s="16"/>
      <c r="D24" s="18"/>
      <c r="E24" s="21"/>
      <c r="F24" s="31"/>
      <c r="G24" s="20"/>
      <c r="H24" s="21"/>
    </row>
    <row r="25" ht="15.75" spans="1:8">
      <c r="A25" s="15"/>
      <c r="B25" s="17"/>
      <c r="C25" s="17"/>
      <c r="D25" s="18"/>
      <c r="E25" s="21"/>
      <c r="F25" s="20"/>
      <c r="G25" s="20"/>
      <c r="H25" s="21"/>
    </row>
  </sheetData>
  <mergeCells count="3">
    <mergeCell ref="D1:F1"/>
    <mergeCell ref="D2:F2"/>
    <mergeCell ref="D3:E3"/>
  </mergeCells>
  <pageMargins left="0.708333333333333" right="0.708333333333333" top="0.747916666666667" bottom="0.747916666666667" header="0.314583333333333" footer="0.314583333333333"/>
  <pageSetup paperSize="1" scale="80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MEMBRESIA</vt:lpstr>
      <vt:lpstr>INGRESOS Y EGRESOS</vt:lpstr>
      <vt:lpstr>INFORME MENS</vt:lpstr>
      <vt:lpstr>PAGO A GLUM</vt:lpstr>
      <vt:lpstr>DEFUNCIONES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iPad</cp:lastModifiedBy>
  <dcterms:created xsi:type="dcterms:W3CDTF">2014-06-30T06:01:43Z</dcterms:created>
  <cp:lastPrinted>2026-05-20T23:50:52Z</cp:lastPrinted>
  <dcterms:modified xsi:type="dcterms:W3CDTF">2026-07-10T20:32:50Z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C854C66D15909575F256516A2D5AB9D5_33</vt:lpwstr>
  </property>
  <property fmtid="{D5CDD505-2E9C-101B-9397-08002B2CF9AE}" pid="3" name="KSOProductBuildVer">
    <vt:lpwstr>2052-26.6.2</vt:lpwstr>
  </property>
</Properties>
</file>